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blu\Dropbox\root\work\projects\2023_transmission_of_model\analysis\NLP\results\BERT_fine_tuning\"/>
    </mc:Choice>
  </mc:AlternateContent>
  <xr:revisionPtr revIDLastSave="0" documentId="13_ncr:1_{15764718-EE75-4870-BF58-FB4484645D82}" xr6:coauthVersionLast="47" xr6:coauthVersionMax="47" xr10:uidLastSave="{00000000-0000-0000-0000-000000000000}"/>
  <bookViews>
    <workbookView xWindow="-120" yWindow="-16320" windowWidth="29040" windowHeight="16440" xr2:uid="{1D49CD75-F613-40A4-B863-444FC98D2DDD}"/>
  </bookViews>
  <sheets>
    <sheet name="results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I80" i="1"/>
  <c r="I79" i="1"/>
  <c r="J79" i="1"/>
  <c r="I78" i="1"/>
  <c r="J78" i="1"/>
  <c r="I77" i="1"/>
  <c r="J77" i="1"/>
  <c r="J76" i="1"/>
  <c r="I76" i="1"/>
  <c r="I75" i="1"/>
  <c r="J75" i="1"/>
  <c r="I74" i="1"/>
  <c r="J74" i="1"/>
  <c r="J73" i="1"/>
  <c r="I73" i="1"/>
  <c r="J72" i="1"/>
  <c r="I72" i="1"/>
  <c r="I71" i="1"/>
  <c r="J71" i="1"/>
  <c r="I70" i="1"/>
  <c r="J70" i="1"/>
  <c r="I69" i="1"/>
  <c r="J69" i="1"/>
  <c r="I68" i="1"/>
  <c r="J68" i="1"/>
  <c r="I67" i="1"/>
  <c r="J67" i="1"/>
  <c r="I66" i="1"/>
  <c r="J66" i="1"/>
  <c r="I65" i="1"/>
  <c r="J65" i="1"/>
  <c r="J64" i="1"/>
  <c r="I64" i="1"/>
  <c r="I63" i="1"/>
  <c r="J63" i="1"/>
  <c r="I62" i="1"/>
  <c r="J62" i="1"/>
  <c r="I61" i="1"/>
  <c r="J61" i="1"/>
  <c r="J60" i="1"/>
  <c r="I60" i="1"/>
  <c r="J59" i="1"/>
  <c r="I59" i="1"/>
  <c r="J58" i="1"/>
  <c r="I58" i="1"/>
  <c r="J57" i="1"/>
  <c r="I57" i="1"/>
  <c r="J56" i="1"/>
  <c r="I56" i="1"/>
  <c r="J50" i="1"/>
  <c r="J51" i="1"/>
  <c r="J52" i="1"/>
  <c r="J53" i="1"/>
  <c r="J54" i="1"/>
  <c r="J55" i="1"/>
  <c r="J4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</calcChain>
</file>

<file path=xl/sharedStrings.xml><?xml version="1.0" encoding="utf-8"?>
<sst xmlns="http://schemas.openxmlformats.org/spreadsheetml/2006/main" count="167" uniqueCount="161">
  <si>
    <t>run_name</t>
  </si>
  <si>
    <t>params</t>
  </si>
  <si>
    <t>nr_topic</t>
  </si>
  <si>
    <t>c_v</t>
  </si>
  <si>
    <t>c_npmi</t>
  </si>
  <si>
    <t>diversity</t>
  </si>
  <si>
    <t>silhouette</t>
  </si>
  <si>
    <t>similarity</t>
  </si>
  <si>
    <t>total</t>
  </si>
  <si>
    <t>base_value</t>
  </si>
  <si>
    <t>{'embedding_model': 'sentence-transformers/all-MiniLM-L6-v2', 'n_neighbors': 15, 'n_components': 5, 'min_dist': 0.0, 'random_state': [0, 1, 15, 11, 37], 'min_cluster_size': 10, 'min_df': 2, 'ngram_range': (1, 3), 'top_n_words': 10}</t>
  </si>
  <si>
    <t>n_neighbors_20</t>
  </si>
  <si>
    <t>{'embedding_model': 'sentence-transformers/all-MiniLM-L6-v2', 'n_neighbors': 20, 'n_components': 5, 'min_dist': 0.0, 'random_state': [0, 1, 15, 11, 37], 'min_cluster_size': 10, 'min_df': 2, 'ngram_range': (1, 3), 'top_n_words': 10}</t>
  </si>
  <si>
    <t>n_neighbors_10</t>
  </si>
  <si>
    <t>{'embedding_model': 'sentence-transformers/all-MiniLM-L6-v2', 'n_neighbors': 10, 'n_components': 5, 'min_dist': 0.0, 'random_state': [0, 1, 15, 11, 37], 'min_cluster_size': 10, 'min_df': 2, 'ngram_range': (1, 3), 'top_n_words': 10}</t>
  </si>
  <si>
    <t>n_neighbors_5</t>
  </si>
  <si>
    <t>{'embedding_model': 'sentence-transformers/all-MiniLM-L6-v2', 'n_neighbors': 5, 'n_components': 5, 'min_dist': 0.0, 'random_state': [0, 1, 15, 11, 37], 'min_cluster_size': 10, 'min_df': 2, 'ngram_range': (1, 3), 'top_n_words': 10}</t>
  </si>
  <si>
    <t>n_neighbors_30</t>
  </si>
  <si>
    <t>{'embedding_model': 'sentence-transformers/all-MiniLM-L6-v2', 'n_neighbors': 30, 'n_components': 5, 'min_dist': 0.0, 'random_state': [0, 1, 15, 11, 37], 'min_cluster_size': 10, 'min_df': 2, 'ngram_range': (1, 3), 'top_n_words': 10}</t>
  </si>
  <si>
    <t>n_components_10</t>
  </si>
  <si>
    <t>{'embedding_model': 'sentence-transformers/all-MiniLM-L6-v2', 'n_neighbors': 10, 'n_components': 10, 'min_dist': 0.0, 'random_state': [0, 1, 15, 11, 37], 'min_cluster_size': 10, 'min_df': 2, 'ngram_range': (1, 3), 'top_n_words': 10}</t>
  </si>
  <si>
    <t>n_components_3</t>
  </si>
  <si>
    <t>{'embedding_model': 'sentence-transformers/all-MiniLM-L6-v2', 'n_neighbors': 10, 'n_components': 3, 'min_dist': 0.0, 'random_state': [0, 1, 15, 11, 37], 'min_cluster_size': 10, 'min_df': 2, 'ngram_range': (1, 3), 'top_n_words': 10}</t>
  </si>
  <si>
    <t>n_components_20</t>
  </si>
  <si>
    <t>{'embedding_model': 'sentence-transformers/all-MiniLM-L6-v2', 'n_neighbors': 10, 'n_components': 20, 'min_dist': 0.0, 'random_state': [0, 1, 15, 11, 37], 'min_cluster_size': 10, 'min_df': 2, 'ngram_range': (1, 3), 'top_n_words': 10}</t>
  </si>
  <si>
    <t>min_dist_01</t>
  </si>
  <si>
    <t>{'embedding_model': 'sentence-transformers/all-MiniLM-L6-v2', 'n_neighbors': 10, 'n_components': 5, 'min_dist': 0.1, 'random_state': [0, 1, 15, 11, 37], 'min_cluster_size': 10, 'min_df': 2, 'ngram_range': (1, 3), 'top_n_words': 10}</t>
  </si>
  <si>
    <t>min_dist_05</t>
  </si>
  <si>
    <t>{'embedding_model': 'sentence-transformers/all-MiniLM-L6-v2', 'n_neighbors': 10, 'n_components': 5, 'min_dist': 0.5, 'random_state': [0, 1, 15, 11, 37], 'min_cluster_size': 10, 'min_df': 2, 'ngram_range': (1, 3), 'top_n_words': 10}</t>
  </si>
  <si>
    <t>min_dist_02</t>
  </si>
  <si>
    <t>{'embedding_model': 'sentence-transformers/all-MiniLM-L6-v2', 'n_neighbors': 10, 'n_components': 5, 'min_dist': 0.2, 'random_state': [0, 1, 15, 11, 37], 'min_cluster_size': 10, 'min_df': 2, 'ngram_range': (1, 3), 'top_n_words': 10}</t>
  </si>
  <si>
    <t>min_cluster_size_5</t>
  </si>
  <si>
    <t>{'embedding_model': 'sentence-transformers/all-MiniLM-L6-v2', 'n_neighbors': 10, 'n_components': 5, 'min_dist': 0.0, 'random_state': [0, 1, 15, 11, 37], 'min_cluster_size': 5, 'min_df': 2, 'ngram_range': (1, 3), 'top_n_words': 10}</t>
  </si>
  <si>
    <t>min_cluster_size_15</t>
  </si>
  <si>
    <t>{'embedding_model': 'sentence-transformers/all-MiniLM-L6-v2', 'n_neighbors': 10, 'n_components': 5, 'min_dist': 0.0, 'random_state': [0, 1, 15, 11, 37], 'min_cluster_size': 15, 'min_df': 2, 'ngram_range': (1, 3), 'top_n_words': 10}</t>
  </si>
  <si>
    <t>min_cluster_size_20</t>
  </si>
  <si>
    <t>{'embedding_model': 'sentence-transformers/all-MiniLM-L6-v2', 'n_neighbors': 10, 'n_components': 5, 'min_dist': 0.0, 'random_state': [0, 1, 15, 11, 37], 'min_cluster_size': 20, 'min_df': 2, 'ngram_range': (1, 3), 'top_n_words': 10}</t>
  </si>
  <si>
    <t>min_cluster_size_40</t>
  </si>
  <si>
    <t>{'embedding_model': 'sentence-transformers/all-MiniLM-L6-v2', 'n_neighbors': 10, 'n_components': 5, 'min_dist': 0.0, 'random_state': [0, 1, 15, 11, 37], 'min_cluster_size': 40, 'min_df': 2, 'ngram_range': (1, 3), 'top_n_words': 10}</t>
  </si>
  <si>
    <t>min_cluster_size_60</t>
  </si>
  <si>
    <t>{'embedding_model': 'sentence-transformers/all-MiniLM-L6-v2', 'n_neighbors': 10, 'n_components': 5, 'min_dist': 0.0, 'random_state': [0, 1, 15, 11, 37], 'min_cluster_size': 60, 'min_df': 2, 'ngram_range': (1, 3), 'top_n_words': 10}</t>
  </si>
  <si>
    <t>min_cluster_size_30</t>
  </si>
  <si>
    <t>{'embedding_model': 'sentence-transformers/all-MiniLM-L6-v2', 'n_neighbors': 10, 'n_components': 5, 'min_dist': 0.0, 'random_state': [0, 1, 15, 11, 37], 'min_cluster_size': 30, 'min_df': 2, 'ngram_range': (1, 3), 'top_n_words': 10}</t>
  </si>
  <si>
    <t>min_df_4</t>
  </si>
  <si>
    <t>{'embedding_model': 'sentence-transformers/all-MiniLM-L6-v2', 'n_neighbors': 10, 'n_components': 5, 'min_dist': 0.0, 'random_state': [0, 1, 15, 11, 37], 'min_cluster_size': 15, 'min_df': 4, 'ngram_range': (1, 3), 'top_n_words': 10}</t>
  </si>
  <si>
    <t>min_df_4_min_cluster_size_30</t>
  </si>
  <si>
    <t>{'embedding_model': 'sentence-transformers/all-MiniLM-L6-v2', 'n_neighbors': 10, 'n_components': 5, 'min_dist': 0.0, 'random_state': [0, 1, 15, 11, 37], 'min_cluster_size': 30, 'min_df': 4, 'ngram_range': (1, 3), 'top_n_words': 10}</t>
  </si>
  <si>
    <t>ngram_range_1</t>
  </si>
  <si>
    <t>{'embedding_model': 'sentence-transformers/all-MiniLM-L6-v2', 'n_neighbors': 10, 'n_components': 5, 'min_dist': 0.0, 'random_state': [0, 1, 15, 11, 37], 'min_cluster_size': 15, 'min_df': 2, 'ngram_range': (1, 1), 'top_n_words': 10}</t>
  </si>
  <si>
    <t>ngram_range_2</t>
  </si>
  <si>
    <t>{'embedding_model': 'sentence-transformers/all-MiniLM-L6-v2', 'n_neighbors': 10, 'n_components': 5, 'min_dist': 0.0, 'random_state': [0, 1, 15, 11, 37], 'min_cluster_size': 15, 'min_df': 2, 'ngram_range': (1, 2), 'top_n_words': 10}</t>
  </si>
  <si>
    <t>ngram_range_4</t>
  </si>
  <si>
    <t>{'embedding_model': 'sentence-transformers/all-MiniLM-L6-v2', 'n_neighbors': 10, 'n_components': 5, 'min_dist': 0.0, 'random_state': [0, 1, 15, 11, 37], 'min_cluster_size': 15, 'min_df': 2, 'ngram_range': (1, 4), 'top_n_words': 10}</t>
  </si>
  <si>
    <t>ngram_range_5</t>
  </si>
  <si>
    <t>{'embedding_model': 'sentence-transformers/all-MiniLM-L6-v2', 'n_neighbors': 10, 'n_components': 5, 'min_dist': 0.0, 'random_state': [0, 1, 15, 11, 37], 'min_cluster_size': 15, 'min_df': 2, 'ngram_range': (1, 5), 'top_n_words': 10}</t>
  </si>
  <si>
    <t>ngram_range_10</t>
  </si>
  <si>
    <t>{'embedding_model': 'sentence-transformers/all-MiniLM-L6-v2', 'n_neighbors': 10, 'n_components': 5, 'min_dist': 0.0, 'random_state': [0, 1, 15, 11, 37], 'min_cluster_size': 15, 'min_df': 2, 'ngram_range': (1, 10), 'top_n_words': 10}</t>
  </si>
  <si>
    <t>top_n_word_5</t>
  </si>
  <si>
    <t>{'embedding_model': 'sentence-transformers/all-MiniLM-L6-v2', 'n_neighbors': 10, 'n_components': 5, 'min_dist': 0.0, 'random_state': [0, 1, 15, 11, 37], 'min_cluster_size': 15, 'min_df': 2, 'ngram_range': (1, 3), 'top_n_words': 5}</t>
  </si>
  <si>
    <t>top_n_word_15</t>
  </si>
  <si>
    <t>{'embedding_model': 'sentence-transformers/all-MiniLM-L6-v2', 'n_neighbors': 10, 'n_components': 5, 'min_dist': 0.0, 'random_state': [0, 1, 15, 11, 37], 'min_cluster_size': 15, 'min_df': 2, 'ngram_range': (1, 3), 'top_n_words': 15}</t>
  </si>
  <si>
    <t>r2_n_neighbors_15</t>
  </si>
  <si>
    <t>{'embedding_model': 'sentence-transformers/all-MiniLM-L6-v2', 'n_neighbors': 15, 'n_components': 5, 'min_dist': 0.0, 'random_state': [0, 1, 15, 11, 37], 'min_cluster_size': 15, 'min_df': 2, 'ngram_range': (1, 3), 'top_n_words': 5}</t>
  </si>
  <si>
    <t>r2_n_neighbors_5</t>
  </si>
  <si>
    <t>{'embedding_model': 'sentence-transformers/all-MiniLM-L6-v2', 'n_neighbors': 5, 'n_components': 5, 'min_dist': 0.0, 'random_state': [0, 1, 15, 11, 37], 'min_cluster_size': 15, 'min_df': 2, 'ngram_range': (1, 3), 'top_n_words': 5}</t>
  </si>
  <si>
    <t>r2_n_neighbors_20</t>
  </si>
  <si>
    <t>{'embedding_model': 'sentence-transformers/all-MiniLM-L6-v2', 'n_neighbors': 20, 'n_components': 5, 'min_dist': 0.0, 'random_state': [0, 1, 15, 11, 37], 'min_cluster_size': 15, 'min_df': 2, 'ngram_range': (1, 3), 'top_n_words': 5}</t>
  </si>
  <si>
    <t>r2_n_components_2</t>
  </si>
  <si>
    <t>{'embedding_model': 'sentence-transformers/all-MiniLM-L6-v2', 'n_neighbors': 15, 'n_components': 2, 'min_dist': 0.0, 'random_state': [0, 1, 15, 11, 37], 'min_cluster_size': 15, 'min_df': 2, 'ngram_range': (1, 3), 'top_n_words': 5}</t>
  </si>
  <si>
    <t>r2_n_components_3</t>
  </si>
  <si>
    <t>{'embedding_model': 'sentence-transformers/all-MiniLM-L6-v2', 'n_neighbors': 15, 'n_components': 3, 'min_dist': 0.0, 'random_state': [0, 1, 15, 11, 37], 'min_cluster_size': 15, 'min_df': 2, 'ngram_range': (1, 3), 'top_n_words': 5}</t>
  </si>
  <si>
    <t>r2_n_components_10</t>
  </si>
  <si>
    <t>{'embedding_model': 'sentence-transformers/all-MiniLM-L6-v2', 'n_neighbors': 15, 'n_components': 10, 'min_dist': 0.0, 'random_state': [0, 1, 15, 11, 37], 'min_cluster_size': 15, 'min_df': 2, 'ngram_range': (1, 3), 'top_n_words': 5}</t>
  </si>
  <si>
    <t>r2_n_components_15</t>
  </si>
  <si>
    <t>{'embedding_model': 'sentence-transformers/all-MiniLM-L6-v2', 'n_neighbors': 15, 'n_components': 15, 'min_dist': 0.0, 'random_state': [0, 1, 15, 11, 37], 'min_cluster_size': 15, 'min_df': 2, 'ngram_range': (1, 3), 'top_n_words': 5}</t>
  </si>
  <si>
    <t>r2_min_dist_02</t>
  </si>
  <si>
    <t>{'embedding_model': 'sentence-transformers/all-MiniLM-L6-v2', 'n_neighbors': 15, 'n_components': 10, 'min_dist': 0.2, 'random_state': [0, 1, 15, 11, 37], 'min_cluster_size': 15, 'min_df': 2, 'ngram_range': (1, 3), 'top_n_words': 5}</t>
  </si>
  <si>
    <t>r2_min_cluster_size_10</t>
  </si>
  <si>
    <t>{'embedding_model': 'sentence-transformers/all-MiniLM-L6-v2', 'n_neighbors': 15, 'n_components': 10, 'min_dist': 0.0, 'random_state': [0, 1, 15, 11, 37], 'min_cluster_size': 10, 'min_df': 2, 'ngram_range': (1, 3), 'top_n_words': 5}</t>
  </si>
  <si>
    <t>r2_min_cluster_size_20</t>
  </si>
  <si>
    <t>{'embedding_model': 'sentence-transformers/all-MiniLM-L6-v2', 'n_neighbors': 15, 'n_components': 10, 'min_dist': 0.0, 'random_state': [0, 1, 15, 11, 37], 'min_cluster_size': 20, 'min_df': 2, 'ngram_range': (1, 3), 'top_n_words': 5}</t>
  </si>
  <si>
    <t>r2_min_cluster_size_30</t>
  </si>
  <si>
    <t>{'embedding_model': 'sentence-transformers/all-MiniLM-L6-v2', 'n_neighbors': 15, 'n_components': 10, 'min_dist': 0.0, 'random_state': [0, 1, 15, 11, 37], 'min_cluster_size': 30, 'min_df': 2, 'ngram_range': (1, 3), 'top_n_words': 5}</t>
  </si>
  <si>
    <t>r2_min_cluster_size_50</t>
  </si>
  <si>
    <t>{'embedding_model': 'sentence-transformers/all-MiniLM-L6-v2', 'n_neighbors': 15, 'n_components': 10, 'min_dist': 0.0, 'random_state': [0, 1, 15, 11, 37], 'min_cluster_size': 50, 'min_df': 2, 'ngram_range': (1, 3), 'top_n_words': 5}</t>
  </si>
  <si>
    <t>r2_min_df_1</t>
  </si>
  <si>
    <t>{'embedding_model': 'sentence-transformers/all-MiniLM-L6-v2', 'n_neighbors': 15, 'n_components': 10, 'min_dist': 0.0, 'random_state': [0, 1, 15, 11, 37], 'min_cluster_size': 20, 'min_df': 1, 'ngram_range': (1, 3), 'top_n_words': 5}</t>
  </si>
  <si>
    <t>r2_min_df_3</t>
  </si>
  <si>
    <t>{'embedding_model': 'sentence-transformers/all-MiniLM-L6-v2', 'n_neighbors': 15, 'n_components': 10, 'min_dist': 0.0, 'random_state': [0, 1, 15, 11, 37], 'min_cluster_size': 20, 'min_df': 3, 'ngram_range': (1, 3), 'top_n_words': 5}</t>
  </si>
  <si>
    <t>r2_min_df_4</t>
  </si>
  <si>
    <t>{'embedding_model': 'sentence-transformers/all-MiniLM-L6-v2', 'n_neighbors': 15, 'n_components': 10, 'min_dist': 0.0, 'random_state': [0, 1, 15, 11, 37], 'min_cluster_size': 20, 'min_df': 4, 'ngram_range': (1, 3), 'top_n_words': 5}</t>
  </si>
  <si>
    <t>r2_ngram_range_1</t>
  </si>
  <si>
    <t>{'embedding_model': 'sentence-transformers/all-MiniLM-L6-v2', 'n_neighbors': 15, 'n_components': 10, 'min_dist': 0.0, 'random_state': [0, 1, 15, 11, 37], 'min_cluster_size': 20, 'min_df': 3, 'ngram_range': (1, 1), 'top_n_words': 5}</t>
  </si>
  <si>
    <t>r2_ngram_range_2</t>
  </si>
  <si>
    <t>{'embedding_model': 'sentence-transformers/all-MiniLM-L6-v2', 'n_neighbors': 15, 'n_components': 10, 'min_dist': 0.0, 'random_state': [0, 1, 15, 11, 37], 'min_cluster_size': 20, 'min_df': 3, 'ngram_range': (1, 2), 'top_n_words': 5}</t>
  </si>
  <si>
    <t>r2_ngram_range_4</t>
  </si>
  <si>
    <t>{'embedding_model': 'sentence-transformers/all-MiniLM-L6-v2', 'n_neighbors': 15, 'n_components': 10, 'min_dist': 0.0, 'random_state': [0, 1, 15, 11, 37], 'min_cluster_size': 20, 'min_df': 3, 'ngram_range': (1, 4), 'top_n_words': 5}</t>
  </si>
  <si>
    <t>r2_ngram_range_5</t>
  </si>
  <si>
    <t>{'embedding_model': 'sentence-transformers/all-MiniLM-L6-v2', 'n_neighbors': 15, 'n_components': 10, 'min_dist': 0.0, 'random_state': [0, 1, 15, 11, 37], 'min_cluster_size': 20, 'min_df': 3, 'ngram_range': (1, 5), 'top_n_words': 5}</t>
  </si>
  <si>
    <t>r2_top_n_words_10</t>
  </si>
  <si>
    <t>{'embedding_model': 'sentence-transformers/all-MiniLM-L6-v2', 'n_neighbors': 15, 'n_components': 10, 'min_dist': 0.0, 'random_state': [0, 1, 15, 11, 37], 'min_cluster_size': 20, 'min_df': 3, 'ngram_range': (1, 3), 'top_n_words': 10}</t>
  </si>
  <si>
    <t>r2_top_n_words_15</t>
  </si>
  <si>
    <t>{'embedding_model': 'sentence-transformers/all-MiniLM-L6-v2', 'n_neighbors': 15, 'n_components': 10, 'min_dist': 0.0, 'random_state': [0, 1, 15, 11, 37], 'min_cluster_size': 20, 'min_df': 3, 'ngram_range': (1, 3), 'top_n_words': 15}</t>
  </si>
  <si>
    <t>r3_min_df_1</t>
  </si>
  <si>
    <t>r3_min_df_2</t>
  </si>
  <si>
    <t>r3_min_df_3</t>
  </si>
  <si>
    <t>r3_min_df_4</t>
  </si>
  <si>
    <t>r3_min_cluster_size_50</t>
  </si>
  <si>
    <t>{'embedding_model': 'sentence-transformers/all-MiniLM-L6-v2', 'n_neighbors': 15, 'n_components': 10, 'min_dist': 0.0, 'random_state': [0, 1, 15, 11, 37], 'min_cluster_size': 50, 'min_df': 3, 'ngram_range': (1, 3), 'top_n_words': 5}</t>
  </si>
  <si>
    <t>r3_min_cluster_size_10</t>
  </si>
  <si>
    <t>{'embedding_model': 'sentence-transformers/all-MiniLM-L6-v2', 'n_neighbors': 15, 'n_components': 10, 'min_dist': 0.0, 'random_state': [0, 1, 15, 11, 37], 'min_cluster_size': 10, 'min_df': 3, 'ngram_range': (1, 3), 'top_n_words': 5}</t>
  </si>
  <si>
    <t>r3_min_cluster_size_5</t>
  </si>
  <si>
    <t>{'embedding_model': 'sentence-transformers/all-MiniLM-L6-v2', 'n_neighbors': 15, 'n_components': 10, 'min_dist': 0.0, 'random_state': [0, 1, 15, 11, 37], 'min_cluster_size': 5, 'min_df': 3, 'ngram_range': (1, 3), 'top_n_words': 5}</t>
  </si>
  <si>
    <t>r3_min_cluster_size_30</t>
  </si>
  <si>
    <t>{'embedding_model': 'sentence-transformers/all-MiniLM-L6-v2', 'n_neighbors': 15, 'n_components': 10, 'min_dist': 0.0, 'random_state': [0, 1, 15, 11, 37], 'min_cluster_size': 30, 'min_df': 3, 'ngram_range': (1, 3), 'top_n_words': 5}</t>
  </si>
  <si>
    <t>r3_min_cluster_size_20</t>
  </si>
  <si>
    <t>r4_n_neighbors_10</t>
  </si>
  <si>
    <t>{'embedding_model': 'sentence-transformers/all-MiniLM-L6-v2', 'n_neighbors': 10, 'n_components': 10, 'min_dist': 0.0, 'random_state': [0, 1, 15, 11, 37], 'min_cluster_size': 20, 'min_df': 3, 'ngram_range': (1, 3), 'top_n_words': 5}</t>
  </si>
  <si>
    <t>r4_n_neighbors_20</t>
  </si>
  <si>
    <t>{'embedding_model': 'sentence-transformers/all-MiniLM-L6-v2', 'n_neighbors': 20, 'n_components': 10, 'min_dist': 0.0, 'random_state': [0, 1, 15, 11, 38], 'min_cluster_size': 20, 'min_df': 3, 'ngram_range': (1, 3), 'top_n_words': 5}</t>
  </si>
  <si>
    <t>r4_min_df_005_max_df_08</t>
  </si>
  <si>
    <t>{'embedding_model': 'sentence-transformers/all-MiniLM-L6-v2', 'n_neighbors': 15, 'n_components': 10, 'min_dist': 0.0, 'random_state': [0, 1, 15, 11, 37], 'min_cluster_size': 20, 'min_df': 0.05, 'max_df': 0.8, 'ngram_range': (1, 3), 'top_n_words': 5}</t>
  </si>
  <si>
    <t>r4_min_df_010_max_df_08</t>
  </si>
  <si>
    <t>{'embedding_model': 'sentence-transformers/all-MiniLM-L6-v2', 'n_neighbors': 15, 'n_components': 10, 'min_dist': 0.0, 'random_state': [0, 1, 15, 11, 37], 'min_cluster_size': 20, 'min_df': 0.1, 'max_df': 0.8, 'ngram_range': (1, 3), 'top_n_words': 5}</t>
  </si>
  <si>
    <t>r4_min_df_003_max_df_08</t>
  </si>
  <si>
    <t>{'embedding_model': 'sentence-transformers/all-MiniLM-L6-v2', 'n_neighbors': 15, 'n_components': 10, 'min_dist': 0.0, 'random_state': [0, 1, 15, 11, 37], 'min_cluster_size': 20, 'min_df': 0.03, 'max_df': 0.8, 'ngram_range': (1, 3), 'top_n_words': 5}</t>
  </si>
  <si>
    <t>r4_min_df_003_max_df_10</t>
  </si>
  <si>
    <t>{'embedding_model': 'sentence-transformers/all-MiniLM-L6-v2', 'n_neighbors': 15, 'n_components': 10, 'min_dist': 0.0, 'random_state': [0, 1, 15, 11, 37], 'min_cluster_size': 20, 'min_df': 0.03, 'max_df': 1.0, 'ngram_range': (1, 3), 'top_n_words': 5}</t>
  </si>
  <si>
    <t>r4_min_df_003_max_df_05</t>
  </si>
  <si>
    <t>{'embedding_model': 'sentence-transformers/all-MiniLM-L6-v2', 'n_neighbors': 15, 'n_components': 10, 'min_dist': 0.0, 'random_state': [0, 1, 15, 11, 37], 'min_cluster_size': 20, 'min_df': 0.03, 'max_df': 0.5, 'ngram_range': (1, 3), 'top_n_words': 5}</t>
  </si>
  <si>
    <t>r4_min_df_003_max_df_05_base_value</t>
  </si>
  <si>
    <t>{'embedding_model': 'sentence-transformers/all-MiniLM-L6-v2', 'n_neighbors': 15, 'n_components': 8, 'min_dist': 0.4, 'random_state': [0, 1, 15, 11, 37], 'min_cluster_size': 10, 'min_df': 0.03, 'max_df': 0.5, 'ngram_range': (1, 2), 'top_n_words': 10}</t>
  </si>
  <si>
    <t>r4_min_df_00_max_df_06_base_value</t>
  </si>
  <si>
    <t>{'embedding_model': 'sentence-transformers/all-MiniLM-L6-v2', 'n_neighbors': 15, 'n_components': 8, 'min_dist': 0.4, 'random_state': [0, 1, 15, 11, 37], 'min_cluster_size': 10, 'min_df': 0.0, 'max_df': 0.6, 'ngram_range': (1, 3), 'top_n_words': 10}</t>
  </si>
  <si>
    <t>r4_min_df_00_max_df_09_base_value</t>
  </si>
  <si>
    <t>{'embedding_model': 'sentence-transformers/all-MiniLM-L6-v2', 'n_neighbors': 15, 'n_components': 5, 'min_dist': 0.1, 'random_state': [0, 1, 15, 11, 37], 'min_cluster_size': 10, 'min_df': 0.0, 'max_df': 0.9, 'ngram_range': (1, 3), 'top_n_words': 10}</t>
  </si>
  <si>
    <t>r4_min_df_00_max_df_09</t>
  </si>
  <si>
    <t>{'embedding_model': 'sentence-transformers/all-MiniLM-L6-v2', 'n_neighbors': 15, 'n_components': 10, 'min_dist': 0.0, 'random_state': [0, 1, 15, 11, 37], 'min_cluster_size': 20, 'min_df': 0.0, 'max_df': 0.9, 'ngram_range': (1, 3), 'top_n_words': 10}</t>
  </si>
  <si>
    <t>r4_min_df_01_max_df_10</t>
  </si>
  <si>
    <t>{'embedding_model': 'sentence-transformers/all-MiniLM-L6-v2', 'n_neighbors': 15, 'n_components': 10, 'min_dist': 0.0, 'random_state': [0, 1, 15, 11, 37], 'min_cluster_size': 20, 'min_df': 0.1, 'max_df': 1.0, 'ngram_range': (1, 3), 'top_n_words': 10}</t>
  </si>
  <si>
    <t>{'embedding_model': 'sentence-transformers/all-MiniLM-L6-v2', 'n_neighbors': 15, 'n_components': 10, 'min_dist': 0.0, 'random_state': [0, 1, 15, 11, 37], 'min_cluster_size': 20, 'min_df': 0.1, 'max_df': 1.0, 'ngram_range': (1, 3), 'top_n_words': 5}</t>
  </si>
  <si>
    <t>r4_min_df_02_max_df_10</t>
  </si>
  <si>
    <t>{'embedding_model': 'sentence-transformers/all-MiniLM-L6-v2', 'n_neighbors': 15, 'n_components': 10, 'min_dist': 0.0, 'random_state': [0, 1, 15, 11, 37], 'min_cluster_size': 20, 'min_df': 0.2, 'max_df': 1.0, 'ngram_range': (1, 3), 'top_n_words': 5}</t>
  </si>
  <si>
    <t>r4_min_df_03_max_df_10</t>
  </si>
  <si>
    <t>{'embedding_model': 'sentence-transformers/all-MiniLM-L6-v2', 'n_neighbors': 15, 'n_components': 10, 'min_dist': 0.0, 'random_state': [0, 1, 15, 11, 37], 'min_cluster_size': 20, 'min_df': 0.3, 'max_df': 1.0, 'ngram_range': (1, 3), 'top_n_words': 5}</t>
  </si>
  <si>
    <t>{'embedding_model': 'sentence-transformers/all-MiniLM-L6-v2', 'n_neighbors': 15, 'n_components': 10, 'min_dist': 0.0, 'random_state': [0, 1, 15, 11, 37], 'min_cluster_size': 20, 'min_df': 0.5, 'max_df': 1.0, 'ngram_range': (1, 3), 'top_n_words': 5}</t>
  </si>
  <si>
    <t>{'embedding_model': 'sentence-transformers/all-MiniLM-L6-v2', 'n_neighbors': 15, 'n_components': 10, 'min_dist': 0.0, 'random_state': [0, 1, 15, 11, 37], 'min_cluster_size': 20, 'min_df': 0.5, 'max_df': 0.9, 'ngram_range': (1, 3), 'top_n_words': 5}</t>
  </si>
  <si>
    <t>r4_min_df_05_max_df_10</t>
  </si>
  <si>
    <t>r4_min_df_05_max_df_09</t>
  </si>
  <si>
    <t>r4_min_df_00_max_df_10</t>
  </si>
  <si>
    <t>{'embedding_model': 'sentence-transformers/all-MiniLM-L6-v2', 'n_neighbors': 15, 'n_components': 10, 'min_dist': 0.0, 'random_state': [0, 1, 15, 11, 37], 'min_cluster_size': 20, 'min_df': 0.0, 'max_df': 1.0, 'ngram_range': (1, 3), 'top_n_words': 5}</t>
  </si>
  <si>
    <t>r4_min_df_3_max_df_800</t>
  </si>
  <si>
    <t>{'embedding_model': 'sentence-transformers/all-MiniLM-L6-v2', 'n_neighbors': 15, 'n_components': 10, 'min_dist': 0.0, 'random_state': [0, 1, 15, 11, 37], 'min_cluster_size': 20, 'min_df': 3, 'max_df': 800, 'ngram_range': (1, 3), 'top_n_words': 5}</t>
  </si>
  <si>
    <t>r4_min_df_3_max_df_10</t>
  </si>
  <si>
    <t>{'embedding_model': 'sentence-transformers/all-MiniLM-L6-v2', 'n_neighbors': 15, 'n_components': 10, 'min_dist': 0.0, 'random_state': [0, 1, 15, 11, 37], 'min_cluster_size': 20, 'min_df': 3, 'max_df': 10, 'ngram_range': (1, 3), 'top_n_words': 5}</t>
  </si>
  <si>
    <t>r4_min_df_0003_max_df_08</t>
  </si>
  <si>
    <t>{'embedding_model': 'sentence-transformers/all-MiniLM-L6-v2', 'n_neighbors': 15, 'n_components': 10, 'min_dist': 0.0, 'random_state': [0, 1, 15, 11, 37], 'min_cluster_size': 20, 'min_df': 0.003, 'max_df': 0.8, 'ngram_range': (1, 3), 'top_n_words': 5}</t>
  </si>
  <si>
    <t>r4_ngram_range_2_3</t>
  </si>
  <si>
    <t>{'embedding_model': 'sentence-transformers/all-MiniLM-L6-v2', 'n_neighbors': 15, 'n_components': 10, 'min_dist': 0.0, 'random_state': [0, 1, 15, 11, 37], 'min_cluster_size': 20, 'min_df': 3, 'max_df': 1000, 'ngram_range': (2, 3), 'top_n_words': 5}</t>
  </si>
  <si>
    <t>r4_ngram_range_1_3</t>
  </si>
  <si>
    <t>{'embedding_model': 'sentence-transformers/all-MiniLM-L6-v2', 'n_neighbors': 15, 'n_components': 10, 'min_dist': 0.0, 'random_state': [0, 1, 15, 11, 37], 'min_cluster_size': 20, 'min_df': 3, 'max_df': 1.0, 'ngram_range': (1, 3), 'top_n_words':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</si>
</sst>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917E-EE92-4CF0-A86E-1E9A5D490DED}">
  <dimension ref="A1:J80"/>
  <sheetViews>
    <sheetView tabSelected="1" workbookViewId="0">
      <pane ySplit="1" topLeftCell="A44" activePane="bottomLeft" state="frozen"/>
      <selection pane="bottomLeft" activeCell="A80" sqref="A80:XFD80"/>
    </sheetView>
  </sheetViews>
  <sheetFormatPr defaultRowHeight="14.5" x14ac:dyDescent="0.35"/>
  <cols>
    <col min="1" max="1" width="21.26953125" customWidth="1"/>
    <col min="2" max="2" width="143.26953125" customWidth="1"/>
    <col min="3" max="3" width="7.7265625" style="2" bestFit="1" customWidth="1"/>
    <col min="4" max="4" width="11.81640625" style="2" bestFit="1" customWidth="1"/>
    <col min="5" max="5" width="12.453125" style="2" bestFit="1" customWidth="1"/>
    <col min="6" max="6" width="11.81640625" style="2" bestFit="1" customWidth="1"/>
    <col min="7" max="7" width="10.81640625" style="2" bestFit="1" customWidth="1"/>
    <col min="8" max="8" width="9.81640625" style="2" bestFit="1" customWidth="1"/>
    <col min="9" max="9" width="12" style="2" customWidth="1"/>
    <col min="10" max="10" width="10.90625" style="2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/>
    </row>
    <row r="2" spans="1:10" x14ac:dyDescent="0.35">
      <c r="A2" t="s">
        <v>9</v>
      </c>
      <c r="B2" t="s">
        <v>10</v>
      </c>
      <c r="C2" s="2">
        <v>16.2</v>
      </c>
      <c r="D2" s="2">
        <v>0.65163657399999997</v>
      </c>
      <c r="E2" s="2">
        <v>-6.4697319999999997E-3</v>
      </c>
      <c r="F2" s="2">
        <v>0.55172739500000001</v>
      </c>
      <c r="G2" s="2">
        <v>0.53216350000000001</v>
      </c>
      <c r="I2" s="2">
        <f>SUM(D2:G2)</f>
        <v>1.729057737</v>
      </c>
    </row>
    <row r="3" spans="1:10" x14ac:dyDescent="0.35">
      <c r="A3" t="s">
        <v>11</v>
      </c>
      <c r="B3" t="s">
        <v>12</v>
      </c>
      <c r="C3" s="2">
        <v>16.399999999999999</v>
      </c>
      <c r="D3" s="2">
        <v>0.65311494400000003</v>
      </c>
      <c r="E3" s="2">
        <v>-1.0295879000000001E-2</v>
      </c>
      <c r="F3" s="2">
        <v>0.54390505700000003</v>
      </c>
      <c r="G3" s="2">
        <v>0.53521883000000003</v>
      </c>
      <c r="I3" s="2">
        <f t="shared" ref="I3:I63" si="0">SUM(D3:G3)</f>
        <v>1.7219429520000002</v>
      </c>
    </row>
    <row r="4" spans="1:10" x14ac:dyDescent="0.35">
      <c r="A4" t="s">
        <v>13</v>
      </c>
      <c r="B4" t="s">
        <v>14</v>
      </c>
      <c r="C4" s="2">
        <v>14.6</v>
      </c>
      <c r="D4" s="2">
        <v>0.70320191200000004</v>
      </c>
      <c r="E4" s="2">
        <v>2.7242144999999999E-2</v>
      </c>
      <c r="F4" s="2">
        <v>0.55295778200000001</v>
      </c>
      <c r="G4" s="2">
        <v>0.53658925999999996</v>
      </c>
      <c r="I4" s="2">
        <f t="shared" si="0"/>
        <v>1.8199910990000001</v>
      </c>
    </row>
    <row r="5" spans="1:10" x14ac:dyDescent="0.35">
      <c r="A5" t="s">
        <v>15</v>
      </c>
      <c r="B5" t="s">
        <v>16</v>
      </c>
      <c r="C5" s="2">
        <v>18.399999999999999</v>
      </c>
      <c r="D5" s="2">
        <v>0.64888816000000005</v>
      </c>
      <c r="E5" s="2">
        <v>-2.5240687000000001E-2</v>
      </c>
      <c r="F5" s="2">
        <v>0.55092230600000003</v>
      </c>
      <c r="G5" s="2">
        <v>0.55627143000000001</v>
      </c>
      <c r="I5" s="2">
        <f t="shared" si="0"/>
        <v>1.730841209</v>
      </c>
    </row>
    <row r="6" spans="1:10" x14ac:dyDescent="0.35">
      <c r="A6" t="s">
        <v>17</v>
      </c>
      <c r="B6" t="s">
        <v>18</v>
      </c>
      <c r="C6" s="2">
        <v>15.8</v>
      </c>
      <c r="D6" s="2">
        <v>0.65556292000000005</v>
      </c>
      <c r="E6" s="2">
        <v>2.8907599999999998E-4</v>
      </c>
      <c r="F6" s="2">
        <v>0.55823529400000005</v>
      </c>
      <c r="G6" s="2">
        <v>0.53359190000000001</v>
      </c>
      <c r="I6" s="2">
        <f t="shared" si="0"/>
        <v>1.7476791900000002</v>
      </c>
    </row>
    <row r="7" spans="1:10" x14ac:dyDescent="0.35">
      <c r="A7" t="s">
        <v>19</v>
      </c>
      <c r="B7" t="s">
        <v>20</v>
      </c>
      <c r="C7" s="2">
        <v>15.4</v>
      </c>
      <c r="D7" s="2">
        <v>0.67724907599999995</v>
      </c>
      <c r="E7" s="2">
        <v>4.4698350000000001E-3</v>
      </c>
      <c r="F7" s="2">
        <v>0.556707391</v>
      </c>
      <c r="G7" s="2">
        <v>0.52401819999999999</v>
      </c>
      <c r="I7" s="2">
        <f t="shared" si="0"/>
        <v>1.7624445019999999</v>
      </c>
    </row>
    <row r="8" spans="1:10" x14ac:dyDescent="0.35">
      <c r="A8" t="s">
        <v>21</v>
      </c>
      <c r="B8" t="s">
        <v>22</v>
      </c>
      <c r="C8" s="2">
        <v>18.2</v>
      </c>
      <c r="D8" s="2">
        <v>0.64335923500000003</v>
      </c>
      <c r="E8" s="2">
        <v>-7.3807509999999996E-3</v>
      </c>
      <c r="F8" s="2">
        <v>0.56783572599999999</v>
      </c>
      <c r="G8" s="2">
        <v>0.55836713000000004</v>
      </c>
      <c r="I8" s="2">
        <f t="shared" si="0"/>
        <v>1.7621813400000002</v>
      </c>
    </row>
    <row r="9" spans="1:10" x14ac:dyDescent="0.35">
      <c r="A9" t="s">
        <v>23</v>
      </c>
      <c r="B9" t="s">
        <v>24</v>
      </c>
      <c r="C9" s="2">
        <v>13</v>
      </c>
      <c r="D9" s="2">
        <v>0.6855793</v>
      </c>
      <c r="E9" s="2">
        <v>6.3278900000000001E-3</v>
      </c>
      <c r="F9" s="2">
        <v>0.54390328600000004</v>
      </c>
      <c r="G9" s="2">
        <v>0.51007426</v>
      </c>
      <c r="I9" s="2">
        <f t="shared" si="0"/>
        <v>1.7458847360000003</v>
      </c>
    </row>
    <row r="10" spans="1:10" x14ac:dyDescent="0.35">
      <c r="A10" t="s">
        <v>25</v>
      </c>
      <c r="B10" t="s">
        <v>26</v>
      </c>
      <c r="C10" s="2">
        <v>12.8</v>
      </c>
      <c r="D10" s="2">
        <v>0.69942288200000002</v>
      </c>
      <c r="E10" s="2">
        <v>1.9744115999999999E-2</v>
      </c>
      <c r="F10" s="2">
        <v>0.54028787899999997</v>
      </c>
      <c r="G10" s="2">
        <v>0.47849712</v>
      </c>
      <c r="I10" s="2">
        <f t="shared" si="0"/>
        <v>1.7379519970000001</v>
      </c>
    </row>
    <row r="11" spans="1:10" x14ac:dyDescent="0.35">
      <c r="A11" t="s">
        <v>27</v>
      </c>
      <c r="B11" t="s">
        <v>28</v>
      </c>
      <c r="C11" s="2">
        <v>8.8000000000000007</v>
      </c>
      <c r="D11" s="2">
        <v>0.68811808500000005</v>
      </c>
      <c r="E11" s="2">
        <v>1.5758332E-2</v>
      </c>
      <c r="F11" s="2">
        <v>0.57503540900000005</v>
      </c>
      <c r="G11" s="2">
        <v>0.40794777999999998</v>
      </c>
      <c r="I11" s="2">
        <f t="shared" si="0"/>
        <v>1.6868596060000001</v>
      </c>
    </row>
    <row r="12" spans="1:10" x14ac:dyDescent="0.35">
      <c r="A12" t="s">
        <v>29</v>
      </c>
      <c r="B12" t="s">
        <v>30</v>
      </c>
      <c r="C12" s="2">
        <v>12</v>
      </c>
      <c r="D12" s="2">
        <v>0.68071496499999995</v>
      </c>
      <c r="E12" s="2">
        <v>9.9534289999999997E-3</v>
      </c>
      <c r="F12" s="2">
        <v>0.55335930700000002</v>
      </c>
      <c r="G12" s="2">
        <v>0.46596209999999999</v>
      </c>
      <c r="I12" s="2">
        <f t="shared" si="0"/>
        <v>1.7099898009999999</v>
      </c>
    </row>
    <row r="13" spans="1:10" x14ac:dyDescent="0.35">
      <c r="A13" t="s">
        <v>31</v>
      </c>
      <c r="B13" t="s">
        <v>32</v>
      </c>
      <c r="C13" s="2">
        <v>31.6</v>
      </c>
      <c r="D13" s="2">
        <v>0.51311081800000002</v>
      </c>
      <c r="E13" s="2">
        <v>-0.11393823</v>
      </c>
      <c r="F13" s="2">
        <v>0.61848102900000002</v>
      </c>
      <c r="G13" s="2">
        <v>0.54799867000000002</v>
      </c>
      <c r="I13" s="2">
        <f t="shared" si="0"/>
        <v>1.5656522870000003</v>
      </c>
    </row>
    <row r="14" spans="1:10" x14ac:dyDescent="0.35">
      <c r="A14" t="s">
        <v>33</v>
      </c>
      <c r="B14" t="s">
        <v>34</v>
      </c>
      <c r="C14" s="2">
        <v>9.8000000000000007</v>
      </c>
      <c r="D14" s="2">
        <v>0.73850559199999999</v>
      </c>
      <c r="E14" s="2">
        <v>4.5980814000000002E-2</v>
      </c>
      <c r="F14" s="2">
        <v>0.54621067800000001</v>
      </c>
      <c r="G14" s="2">
        <v>0.53081449999999997</v>
      </c>
      <c r="I14" s="2">
        <f t="shared" si="0"/>
        <v>1.8615115840000001</v>
      </c>
    </row>
    <row r="15" spans="1:10" x14ac:dyDescent="0.35">
      <c r="A15" t="s">
        <v>35</v>
      </c>
      <c r="B15" t="s">
        <v>36</v>
      </c>
      <c r="C15" s="2">
        <v>7.6</v>
      </c>
      <c r="D15" s="2">
        <v>0.72605081299999996</v>
      </c>
      <c r="E15" s="2">
        <v>2.9995491999999999E-2</v>
      </c>
      <c r="F15" s="2">
        <v>0.54583333300000003</v>
      </c>
      <c r="G15" s="2">
        <v>0.55368583999999998</v>
      </c>
      <c r="I15" s="2">
        <f t="shared" si="0"/>
        <v>1.8555654779999999</v>
      </c>
    </row>
    <row r="16" spans="1:10" x14ac:dyDescent="0.35">
      <c r="A16" t="s">
        <v>37</v>
      </c>
      <c r="B16" t="s">
        <v>38</v>
      </c>
      <c r="C16" s="2">
        <v>4</v>
      </c>
      <c r="D16" s="2">
        <v>0.81546600599999997</v>
      </c>
      <c r="E16" s="2">
        <v>0.10583318899999999</v>
      </c>
      <c r="F16" s="2">
        <v>0.50800000000000001</v>
      </c>
      <c r="G16" s="2">
        <v>0.6191989</v>
      </c>
      <c r="I16" s="2">
        <f t="shared" si="0"/>
        <v>2.0484980950000002</v>
      </c>
    </row>
    <row r="17" spans="1:9" x14ac:dyDescent="0.35">
      <c r="A17" t="s">
        <v>39</v>
      </c>
      <c r="B17" t="s">
        <v>40</v>
      </c>
      <c r="C17" s="2">
        <v>3.2</v>
      </c>
      <c r="D17" s="2">
        <v>0.789311816</v>
      </c>
      <c r="E17" s="2">
        <v>8.6779673000000002E-2</v>
      </c>
      <c r="F17" s="2">
        <v>0.54</v>
      </c>
      <c r="G17" s="2">
        <v>0.56479950000000001</v>
      </c>
      <c r="I17" s="2">
        <f t="shared" si="0"/>
        <v>1.9808909890000002</v>
      </c>
    </row>
    <row r="18" spans="1:9" x14ac:dyDescent="0.35">
      <c r="A18" t="s">
        <v>41</v>
      </c>
      <c r="B18" t="s">
        <v>42</v>
      </c>
      <c r="C18" s="2">
        <v>5</v>
      </c>
      <c r="D18" s="2">
        <v>0.79676353499999997</v>
      </c>
      <c r="E18" s="2">
        <v>9.9278120999999997E-2</v>
      </c>
      <c r="F18" s="2">
        <v>0.546571429</v>
      </c>
      <c r="G18" s="2">
        <v>0.59022969999999997</v>
      </c>
      <c r="I18" s="2">
        <f t="shared" si="0"/>
        <v>2.0328427850000002</v>
      </c>
    </row>
    <row r="19" spans="1:9" x14ac:dyDescent="0.35">
      <c r="A19" t="s">
        <v>43</v>
      </c>
      <c r="B19" t="s">
        <v>44</v>
      </c>
      <c r="C19" s="2">
        <v>9.8000000000000007</v>
      </c>
      <c r="D19" s="2">
        <v>0.735517015</v>
      </c>
      <c r="E19" s="2">
        <v>6.0212779000000001E-2</v>
      </c>
      <c r="F19" s="2">
        <v>0.54049639199999999</v>
      </c>
      <c r="G19" s="2">
        <v>0.53081449999999997</v>
      </c>
      <c r="I19" s="2">
        <f t="shared" si="0"/>
        <v>1.8670406859999999</v>
      </c>
    </row>
    <row r="20" spans="1:9" x14ac:dyDescent="0.35">
      <c r="A20" t="s">
        <v>45</v>
      </c>
      <c r="B20" t="s">
        <v>46</v>
      </c>
      <c r="C20" s="2">
        <v>5</v>
      </c>
      <c r="D20" s="2">
        <v>0.78872620500000001</v>
      </c>
      <c r="E20" s="2">
        <v>9.4866889999999995E-2</v>
      </c>
      <c r="F20" s="2">
        <v>0.55323809499999999</v>
      </c>
      <c r="G20" s="2">
        <v>0.59022969999999997</v>
      </c>
      <c r="I20" s="2">
        <f t="shared" si="0"/>
        <v>2.02706089</v>
      </c>
    </row>
    <row r="21" spans="1:9" x14ac:dyDescent="0.35">
      <c r="A21" t="s">
        <v>47</v>
      </c>
      <c r="B21" t="s">
        <v>48</v>
      </c>
      <c r="C21" s="2">
        <v>9.8000000000000007</v>
      </c>
      <c r="D21" s="2">
        <v>0.423927365</v>
      </c>
      <c r="E21" s="2">
        <v>2.4304453E-2</v>
      </c>
      <c r="F21" s="2">
        <v>0.51027128399999999</v>
      </c>
      <c r="G21" s="2">
        <v>0.53081449999999997</v>
      </c>
      <c r="I21" s="2">
        <f t="shared" si="0"/>
        <v>1.4893176019999999</v>
      </c>
    </row>
    <row r="22" spans="1:9" x14ac:dyDescent="0.35">
      <c r="A22" t="s">
        <v>49</v>
      </c>
      <c r="B22" t="s">
        <v>50</v>
      </c>
      <c r="C22" s="2">
        <v>9.8000000000000007</v>
      </c>
      <c r="D22" s="2">
        <v>0.68412806400000004</v>
      </c>
      <c r="E22" s="2">
        <v>-2.0914530000000001E-3</v>
      </c>
      <c r="F22" s="2">
        <v>0.54478210699999996</v>
      </c>
      <c r="G22" s="2">
        <v>0.53081449999999997</v>
      </c>
      <c r="I22" s="2">
        <f t="shared" si="0"/>
        <v>1.7576332180000001</v>
      </c>
    </row>
    <row r="23" spans="1:9" x14ac:dyDescent="0.35">
      <c r="A23" t="s">
        <v>51</v>
      </c>
      <c r="B23" t="s">
        <v>52</v>
      </c>
      <c r="C23" s="2">
        <v>9.8000000000000007</v>
      </c>
      <c r="D23" s="2">
        <v>0.75633695599999995</v>
      </c>
      <c r="E23" s="2">
        <v>7.8957201000000005E-2</v>
      </c>
      <c r="F23" s="2">
        <v>0.54621067800000001</v>
      </c>
      <c r="G23" s="2">
        <v>0.53081449999999997</v>
      </c>
      <c r="I23" s="2">
        <f t="shared" si="0"/>
        <v>1.9123193349999998</v>
      </c>
    </row>
    <row r="24" spans="1:9" x14ac:dyDescent="0.35">
      <c r="A24" t="s">
        <v>53</v>
      </c>
      <c r="B24" t="s">
        <v>54</v>
      </c>
      <c r="C24" s="2">
        <v>9.8000000000000007</v>
      </c>
      <c r="D24" s="2">
        <v>0.766155951</v>
      </c>
      <c r="E24" s="2">
        <v>0.10269743000000001</v>
      </c>
      <c r="F24" s="2">
        <v>0.54621067800000001</v>
      </c>
      <c r="G24" s="2">
        <v>0.53081449999999997</v>
      </c>
      <c r="I24" s="2">
        <f t="shared" si="0"/>
        <v>1.9458785590000001</v>
      </c>
    </row>
    <row r="25" spans="1:9" x14ac:dyDescent="0.35">
      <c r="A25" t="s">
        <v>55</v>
      </c>
      <c r="B25" t="s">
        <v>56</v>
      </c>
      <c r="C25" s="2">
        <v>9.8000000000000007</v>
      </c>
      <c r="D25" s="2">
        <v>0.78532521499999997</v>
      </c>
      <c r="E25" s="2">
        <v>0.16802225600000001</v>
      </c>
      <c r="F25" s="2">
        <v>0.54621067800000001</v>
      </c>
      <c r="G25" s="2">
        <v>0.53081449999999997</v>
      </c>
      <c r="I25" s="2">
        <f t="shared" si="0"/>
        <v>2.0303726489999998</v>
      </c>
    </row>
    <row r="26" spans="1:9" x14ac:dyDescent="0.35">
      <c r="A26" t="s">
        <v>57</v>
      </c>
      <c r="B26" t="s">
        <v>58</v>
      </c>
      <c r="C26" s="2">
        <v>9.8000000000000007</v>
      </c>
      <c r="D26" s="2">
        <v>0.84652387900000003</v>
      </c>
      <c r="E26" s="2">
        <v>0.182491451</v>
      </c>
      <c r="F26" s="2">
        <v>0.53037806600000004</v>
      </c>
      <c r="G26" s="2">
        <v>0.53081449999999997</v>
      </c>
      <c r="I26" s="2">
        <f t="shared" si="0"/>
        <v>2.0902078959999999</v>
      </c>
    </row>
    <row r="27" spans="1:9" x14ac:dyDescent="0.35">
      <c r="A27" t="s">
        <v>59</v>
      </c>
      <c r="B27" t="s">
        <v>60</v>
      </c>
      <c r="C27" s="2">
        <v>9.8000000000000007</v>
      </c>
      <c r="D27" s="2">
        <v>0.69428669600000004</v>
      </c>
      <c r="E27" s="2">
        <v>-6.1818539999999996E-3</v>
      </c>
      <c r="F27" s="2">
        <v>0.51028956199999997</v>
      </c>
      <c r="G27" s="2">
        <v>0.53081449999999997</v>
      </c>
      <c r="I27" s="2">
        <f t="shared" si="0"/>
        <v>1.729208904</v>
      </c>
    </row>
    <row r="28" spans="1:9" x14ac:dyDescent="0.35">
      <c r="A28" t="s">
        <v>61</v>
      </c>
      <c r="B28" t="s">
        <v>62</v>
      </c>
      <c r="C28" s="2">
        <v>8.6</v>
      </c>
      <c r="D28" s="2">
        <v>0.86028534300000004</v>
      </c>
      <c r="E28" s="2">
        <v>0.223599664</v>
      </c>
      <c r="F28" s="2">
        <v>0.56277056299999995</v>
      </c>
      <c r="G28" s="2">
        <v>0.50931389999999999</v>
      </c>
      <c r="I28" s="2">
        <f t="shared" si="0"/>
        <v>2.1559694700000001</v>
      </c>
    </row>
    <row r="29" spans="1:9" x14ac:dyDescent="0.35">
      <c r="A29" t="s">
        <v>63</v>
      </c>
      <c r="B29" t="s">
        <v>64</v>
      </c>
      <c r="C29" s="2">
        <v>7.6</v>
      </c>
      <c r="D29" s="2">
        <v>0.82414022200000003</v>
      </c>
      <c r="E29" s="2">
        <v>0.15681078900000001</v>
      </c>
      <c r="F29" s="2">
        <v>0.54311111099999998</v>
      </c>
      <c r="G29" s="2">
        <v>0.47792011000000001</v>
      </c>
      <c r="I29" s="2">
        <f t="shared" si="0"/>
        <v>2.001982232</v>
      </c>
    </row>
    <row r="30" spans="1:9" x14ac:dyDescent="0.35">
      <c r="A30" t="s">
        <v>65</v>
      </c>
      <c r="B30" t="s">
        <v>66</v>
      </c>
      <c r="C30" s="2">
        <v>8.6</v>
      </c>
      <c r="D30" s="2">
        <v>0.84601449200000001</v>
      </c>
      <c r="E30" s="2">
        <v>0.20347593999999999</v>
      </c>
      <c r="F30" s="2">
        <v>0.60211788200000005</v>
      </c>
      <c r="G30" s="2">
        <v>0.49749835999999997</v>
      </c>
      <c r="I30" s="2">
        <f t="shared" si="0"/>
        <v>2.149106674</v>
      </c>
    </row>
    <row r="31" spans="1:9" x14ac:dyDescent="0.35">
      <c r="A31" t="s">
        <v>67</v>
      </c>
      <c r="B31" t="s">
        <v>68</v>
      </c>
      <c r="C31" s="2">
        <v>10.4</v>
      </c>
      <c r="D31" s="2">
        <v>0.83171467799999999</v>
      </c>
      <c r="E31" s="2">
        <v>0.190477548</v>
      </c>
      <c r="F31" s="2">
        <v>0.58272727300000005</v>
      </c>
      <c r="G31" s="2">
        <v>0.50750947000000002</v>
      </c>
      <c r="I31" s="2">
        <f t="shared" si="0"/>
        <v>2.1124289690000002</v>
      </c>
    </row>
    <row r="32" spans="1:9" x14ac:dyDescent="0.35">
      <c r="A32" t="s">
        <v>69</v>
      </c>
      <c r="B32" t="s">
        <v>70</v>
      </c>
      <c r="C32" s="2">
        <v>8.6</v>
      </c>
      <c r="D32" s="2">
        <v>0.85185577899999998</v>
      </c>
      <c r="E32" s="2">
        <v>0.21669428299999999</v>
      </c>
      <c r="F32" s="2">
        <v>0.623</v>
      </c>
      <c r="G32" s="2">
        <v>0.48879974999999998</v>
      </c>
      <c r="I32" s="2">
        <f t="shared" si="0"/>
        <v>2.1803498119999998</v>
      </c>
    </row>
    <row r="33" spans="1:9" x14ac:dyDescent="0.35">
      <c r="A33" t="s">
        <v>71</v>
      </c>
      <c r="B33" t="s">
        <v>72</v>
      </c>
      <c r="C33" s="2">
        <v>9.1999999999999993</v>
      </c>
      <c r="D33" s="2">
        <v>0.862283829</v>
      </c>
      <c r="E33" s="2">
        <v>0.226894555</v>
      </c>
      <c r="F33" s="2">
        <v>0.58145454500000004</v>
      </c>
      <c r="G33" s="2">
        <v>0.50532376999999995</v>
      </c>
      <c r="I33" s="2">
        <f t="shared" si="0"/>
        <v>2.1759566989999999</v>
      </c>
    </row>
    <row r="34" spans="1:9" x14ac:dyDescent="0.35">
      <c r="A34" t="s">
        <v>73</v>
      </c>
      <c r="B34" t="s">
        <v>74</v>
      </c>
      <c r="C34" s="2">
        <v>8.1999999999999993</v>
      </c>
      <c r="D34" s="2">
        <v>0.85204028899999995</v>
      </c>
      <c r="E34" s="2">
        <v>0.20788335799999999</v>
      </c>
      <c r="F34" s="2">
        <v>0.58701298700000004</v>
      </c>
      <c r="G34" s="2">
        <v>0.50582945000000001</v>
      </c>
      <c r="I34" s="2">
        <f t="shared" si="0"/>
        <v>2.152766084</v>
      </c>
    </row>
    <row r="35" spans="1:9" x14ac:dyDescent="0.35">
      <c r="A35" t="s">
        <v>75</v>
      </c>
      <c r="B35" t="s">
        <v>76</v>
      </c>
      <c r="C35" s="2">
        <v>6.4</v>
      </c>
      <c r="D35" s="2">
        <v>0.82932445099999996</v>
      </c>
      <c r="E35" s="2">
        <v>0.18070235900000001</v>
      </c>
      <c r="F35" s="2">
        <v>0.56004617599999995</v>
      </c>
      <c r="G35" s="2">
        <v>0.41070113000000003</v>
      </c>
      <c r="I35" s="2">
        <f t="shared" si="0"/>
        <v>1.9807741160000001</v>
      </c>
    </row>
    <row r="36" spans="1:9" x14ac:dyDescent="0.35">
      <c r="A36" t="s">
        <v>77</v>
      </c>
      <c r="B36" t="s">
        <v>78</v>
      </c>
      <c r="C36" s="2">
        <v>15.4</v>
      </c>
      <c r="D36" s="2">
        <v>0.78523058199999995</v>
      </c>
      <c r="E36" s="2">
        <v>0.140298491</v>
      </c>
      <c r="F36" s="2">
        <v>0.57913656700000005</v>
      </c>
      <c r="G36" s="2">
        <v>0.52411249999999998</v>
      </c>
      <c r="I36" s="2">
        <f t="shared" si="0"/>
        <v>2.02877814</v>
      </c>
    </row>
    <row r="37" spans="1:9" x14ac:dyDescent="0.35">
      <c r="A37" t="s">
        <v>79</v>
      </c>
      <c r="B37" t="s">
        <v>80</v>
      </c>
      <c r="C37" s="2">
        <v>7.8</v>
      </c>
      <c r="D37" s="2">
        <v>0.85404727700000005</v>
      </c>
      <c r="E37" s="2">
        <v>0.22442018</v>
      </c>
      <c r="F37" s="2">
        <v>0.639444444</v>
      </c>
      <c r="G37" s="2">
        <v>0.51152390000000003</v>
      </c>
      <c r="I37" s="2">
        <f t="shared" si="0"/>
        <v>2.2294358010000002</v>
      </c>
    </row>
    <row r="38" spans="1:9" x14ac:dyDescent="0.35">
      <c r="A38" t="s">
        <v>81</v>
      </c>
      <c r="B38" t="s">
        <v>82</v>
      </c>
      <c r="C38" s="2">
        <v>4.5999999999999996</v>
      </c>
      <c r="D38" s="2">
        <v>0.90087198499999999</v>
      </c>
      <c r="E38" s="2">
        <v>0.26725165000000001</v>
      </c>
      <c r="F38" s="2">
        <v>0.62142857100000004</v>
      </c>
      <c r="G38" s="2">
        <v>0.54622170000000003</v>
      </c>
      <c r="I38" s="2">
        <f t="shared" si="0"/>
        <v>2.335773906</v>
      </c>
    </row>
    <row r="39" spans="1:9" x14ac:dyDescent="0.35">
      <c r="A39" t="s">
        <v>83</v>
      </c>
      <c r="B39" t="s">
        <v>84</v>
      </c>
      <c r="C39" s="2">
        <v>3.6</v>
      </c>
      <c r="D39" s="2">
        <v>0.91385789900000003</v>
      </c>
      <c r="E39" s="2">
        <v>0.25245638999999997</v>
      </c>
      <c r="F39" s="2">
        <v>0.54200000000000004</v>
      </c>
      <c r="G39" s="2">
        <v>0.57659280000000002</v>
      </c>
      <c r="I39" s="2">
        <f t="shared" si="0"/>
        <v>2.2849070889999998</v>
      </c>
    </row>
    <row r="40" spans="1:9" x14ac:dyDescent="0.35">
      <c r="A40" t="s">
        <v>85</v>
      </c>
      <c r="B40" t="s">
        <v>86</v>
      </c>
      <c r="C40" s="2">
        <v>7.8</v>
      </c>
      <c r="D40" s="2">
        <v>0.85578724299999998</v>
      </c>
      <c r="E40" s="2">
        <v>0.22919567699999999</v>
      </c>
      <c r="F40" s="2">
        <v>0.63</v>
      </c>
      <c r="G40" s="2">
        <v>0.51152390000000003</v>
      </c>
      <c r="I40" s="2">
        <f t="shared" si="0"/>
        <v>2.22650682</v>
      </c>
    </row>
    <row r="41" spans="1:9" x14ac:dyDescent="0.35">
      <c r="A41" t="s">
        <v>87</v>
      </c>
      <c r="B41" t="s">
        <v>88</v>
      </c>
      <c r="C41" s="2">
        <v>7.8</v>
      </c>
      <c r="D41" s="2">
        <v>0.89599520499999996</v>
      </c>
      <c r="E41" s="2">
        <v>0.269046495</v>
      </c>
      <c r="F41" s="2">
        <v>0.62155555600000001</v>
      </c>
      <c r="G41" s="2">
        <v>0.51152390000000003</v>
      </c>
      <c r="I41" s="2">
        <f t="shared" si="0"/>
        <v>2.2981211559999997</v>
      </c>
    </row>
    <row r="42" spans="1:9" x14ac:dyDescent="0.35">
      <c r="A42" t="s">
        <v>89</v>
      </c>
      <c r="B42" t="s">
        <v>90</v>
      </c>
      <c r="C42" s="2">
        <v>7.8</v>
      </c>
      <c r="D42" s="2">
        <v>0.88868017799999999</v>
      </c>
      <c r="E42" s="2">
        <v>0.26069799900000001</v>
      </c>
      <c r="F42" s="2">
        <v>0.62555555600000001</v>
      </c>
      <c r="G42" s="2">
        <v>0.51152390000000003</v>
      </c>
      <c r="I42" s="2">
        <f t="shared" si="0"/>
        <v>2.2864576330000004</v>
      </c>
    </row>
    <row r="43" spans="1:9" x14ac:dyDescent="0.35">
      <c r="A43" t="s">
        <v>91</v>
      </c>
      <c r="B43" t="s">
        <v>92</v>
      </c>
      <c r="C43" s="2">
        <v>7.8</v>
      </c>
      <c r="D43" s="2">
        <v>0.57007575600000004</v>
      </c>
      <c r="E43" s="2">
        <v>9.3551698000000003E-2</v>
      </c>
      <c r="F43" s="2">
        <v>0.62555555600000001</v>
      </c>
      <c r="G43" s="2">
        <v>0.51152390000000003</v>
      </c>
      <c r="I43" s="2">
        <f t="shared" si="0"/>
        <v>1.8007069099999999</v>
      </c>
    </row>
    <row r="44" spans="1:9" x14ac:dyDescent="0.35">
      <c r="A44" t="s">
        <v>93</v>
      </c>
      <c r="B44" t="s">
        <v>94</v>
      </c>
      <c r="C44" s="2">
        <v>7.8</v>
      </c>
      <c r="D44" s="2">
        <v>0.83894795</v>
      </c>
      <c r="E44" s="2">
        <v>0.21065904399999999</v>
      </c>
      <c r="F44" s="2">
        <v>0.62155555600000001</v>
      </c>
      <c r="G44" s="2">
        <v>0.51152390000000003</v>
      </c>
      <c r="I44" s="2">
        <f t="shared" si="0"/>
        <v>2.1826864500000003</v>
      </c>
    </row>
    <row r="45" spans="1:9" x14ac:dyDescent="0.35">
      <c r="A45" t="s">
        <v>95</v>
      </c>
      <c r="B45" t="s">
        <v>96</v>
      </c>
      <c r="C45" s="2">
        <v>7.8</v>
      </c>
      <c r="D45" s="2">
        <v>0.91959771899999998</v>
      </c>
      <c r="E45" s="2">
        <v>0.30525606</v>
      </c>
      <c r="F45" s="2">
        <v>0.62155555600000001</v>
      </c>
      <c r="G45" s="2">
        <v>0.51152390000000003</v>
      </c>
      <c r="I45" s="2">
        <f t="shared" si="0"/>
        <v>2.357933235</v>
      </c>
    </row>
    <row r="46" spans="1:9" x14ac:dyDescent="0.35">
      <c r="A46" t="s">
        <v>97</v>
      </c>
      <c r="B46" t="s">
        <v>98</v>
      </c>
      <c r="C46" s="2">
        <v>7.8</v>
      </c>
      <c r="D46" s="2">
        <v>0.93260823500000001</v>
      </c>
      <c r="E46" s="2">
        <v>0.33085430500000002</v>
      </c>
      <c r="F46" s="2">
        <v>0.62155555600000001</v>
      </c>
      <c r="G46" s="2">
        <v>0.51152390000000003</v>
      </c>
      <c r="I46" s="2">
        <f t="shared" si="0"/>
        <v>2.3965419959999998</v>
      </c>
    </row>
    <row r="47" spans="1:9" x14ac:dyDescent="0.35">
      <c r="A47" t="s">
        <v>99</v>
      </c>
      <c r="B47" t="s">
        <v>100</v>
      </c>
      <c r="C47" s="2">
        <v>7.8</v>
      </c>
      <c r="D47" s="2">
        <v>0.74352414700000002</v>
      </c>
      <c r="E47" s="2">
        <v>7.0397013999999994E-2</v>
      </c>
      <c r="F47" s="2">
        <v>0.57327777800000002</v>
      </c>
      <c r="G47" s="2">
        <v>0.51152390000000003</v>
      </c>
      <c r="I47" s="2">
        <f t="shared" si="0"/>
        <v>1.8987228390000002</v>
      </c>
    </row>
    <row r="48" spans="1:9" x14ac:dyDescent="0.35">
      <c r="A48" t="s">
        <v>101</v>
      </c>
      <c r="B48" t="s">
        <v>102</v>
      </c>
      <c r="C48" s="2">
        <v>7.8</v>
      </c>
      <c r="D48" s="2">
        <v>0.72811323100000003</v>
      </c>
      <c r="E48" s="2">
        <v>3.1097823E-2</v>
      </c>
      <c r="F48" s="2">
        <v>0.51351851900000001</v>
      </c>
      <c r="G48" s="2">
        <v>0.51152390000000003</v>
      </c>
      <c r="I48" s="2">
        <f t="shared" si="0"/>
        <v>1.7842534729999999</v>
      </c>
    </row>
    <row r="49" spans="1:10" s="6" customFormat="1" x14ac:dyDescent="0.35">
      <c r="A49" s="6" t="s">
        <v>103</v>
      </c>
      <c r="B49" s="6" t="s">
        <v>86</v>
      </c>
      <c r="C49" s="5">
        <v>7.8</v>
      </c>
      <c r="D49" s="5">
        <v>0.85578724299999998</v>
      </c>
      <c r="E49" s="5">
        <v>0.22919567699999999</v>
      </c>
      <c r="F49" s="5">
        <v>0.63</v>
      </c>
      <c r="G49" s="5">
        <v>0.51152390000000003</v>
      </c>
      <c r="H49" s="5">
        <v>0.57958670000000001</v>
      </c>
      <c r="I49" s="5">
        <f t="shared" si="0"/>
        <v>2.22650682</v>
      </c>
      <c r="J49" s="5">
        <f>SUM(D49:H49)</f>
        <v>2.8060935200000001</v>
      </c>
    </row>
    <row r="50" spans="1:10" x14ac:dyDescent="0.35">
      <c r="A50" t="s">
        <v>104</v>
      </c>
      <c r="B50" t="s">
        <v>80</v>
      </c>
      <c r="C50" s="2">
        <v>7.8</v>
      </c>
      <c r="D50" s="2">
        <v>0.85404727700000005</v>
      </c>
      <c r="E50" s="2">
        <v>0.22442018</v>
      </c>
      <c r="F50" s="2">
        <v>0.639444444</v>
      </c>
      <c r="G50" s="2">
        <v>0.51152390000000003</v>
      </c>
      <c r="H50" s="2">
        <v>0.57958670000000001</v>
      </c>
      <c r="I50" s="2">
        <f t="shared" si="0"/>
        <v>2.2294358010000002</v>
      </c>
      <c r="J50" s="2">
        <f t="shared" ref="J50:J55" si="1">SUM(D50:H50)</f>
        <v>2.8090225010000003</v>
      </c>
    </row>
    <row r="51" spans="1:10" x14ac:dyDescent="0.35">
      <c r="A51" t="s">
        <v>105</v>
      </c>
      <c r="B51" t="s">
        <v>88</v>
      </c>
      <c r="C51" s="2">
        <v>7.8</v>
      </c>
      <c r="D51" s="2">
        <v>0.89599520499999996</v>
      </c>
      <c r="E51" s="2">
        <v>0.269046495</v>
      </c>
      <c r="F51" s="2">
        <v>0.62155555600000001</v>
      </c>
      <c r="G51" s="2">
        <v>0.51152390000000003</v>
      </c>
      <c r="H51" s="2">
        <v>0.57958670000000001</v>
      </c>
      <c r="I51" s="2">
        <f t="shared" si="0"/>
        <v>2.2981211559999997</v>
      </c>
      <c r="J51" s="2">
        <f t="shared" si="1"/>
        <v>2.8777078559999998</v>
      </c>
    </row>
    <row r="52" spans="1:10" x14ac:dyDescent="0.35">
      <c r="A52" t="s">
        <v>106</v>
      </c>
      <c r="B52" t="s">
        <v>90</v>
      </c>
      <c r="C52" s="2">
        <v>7.8</v>
      </c>
      <c r="D52" s="2">
        <v>0.88868017799999999</v>
      </c>
      <c r="E52" s="2">
        <v>0.26069799900000001</v>
      </c>
      <c r="F52" s="2">
        <v>0.62555555600000001</v>
      </c>
      <c r="G52" s="2">
        <v>0.51152390000000003</v>
      </c>
      <c r="H52" s="2">
        <v>0.57958670000000001</v>
      </c>
      <c r="I52" s="2">
        <f t="shared" si="0"/>
        <v>2.2864576330000004</v>
      </c>
      <c r="J52" s="2">
        <f t="shared" si="1"/>
        <v>2.8660443330000005</v>
      </c>
    </row>
    <row r="53" spans="1:10" x14ac:dyDescent="0.35">
      <c r="A53" t="s">
        <v>107</v>
      </c>
      <c r="B53" t="s">
        <v>108</v>
      </c>
      <c r="C53" s="2">
        <v>3.6</v>
      </c>
      <c r="D53" s="2">
        <v>0.91308136699999998</v>
      </c>
      <c r="E53" s="2">
        <v>0.25159782600000002</v>
      </c>
      <c r="F53" s="2">
        <v>0.55800000000000005</v>
      </c>
      <c r="G53" s="2">
        <v>0.57659280000000002</v>
      </c>
      <c r="H53" s="2">
        <v>0.58352950000000003</v>
      </c>
      <c r="I53" s="2">
        <f t="shared" si="0"/>
        <v>2.2992719930000001</v>
      </c>
      <c r="J53" s="2">
        <f t="shared" si="1"/>
        <v>2.8828014930000001</v>
      </c>
    </row>
    <row r="54" spans="1:10" x14ac:dyDescent="0.35">
      <c r="A54" t="s">
        <v>109</v>
      </c>
      <c r="B54" t="s">
        <v>110</v>
      </c>
      <c r="C54" s="2">
        <v>15.4</v>
      </c>
      <c r="D54" s="2">
        <v>0.76007059200000004</v>
      </c>
      <c r="E54" s="2">
        <v>0.115935381</v>
      </c>
      <c r="F54" s="2">
        <v>0.58331699299999995</v>
      </c>
      <c r="G54" s="2">
        <v>0.52411249999999998</v>
      </c>
      <c r="H54" s="2">
        <v>0.63807820000000004</v>
      </c>
      <c r="I54" s="2">
        <f t="shared" si="0"/>
        <v>1.983435466</v>
      </c>
      <c r="J54" s="2">
        <f t="shared" si="1"/>
        <v>2.6215136660000002</v>
      </c>
    </row>
    <row r="55" spans="1:10" x14ac:dyDescent="0.35">
      <c r="A55" t="s">
        <v>111</v>
      </c>
      <c r="B55" t="s">
        <v>112</v>
      </c>
      <c r="C55" s="2">
        <v>29.8</v>
      </c>
      <c r="D55" s="2">
        <v>0.59191512530837898</v>
      </c>
      <c r="E55" s="2">
        <v>-1.01932371860643E-2</v>
      </c>
      <c r="F55" s="2">
        <v>0.66682990665248698</v>
      </c>
      <c r="G55" s="2">
        <v>0.52657807000000001</v>
      </c>
      <c r="H55" s="2">
        <v>0.66876537000000003</v>
      </c>
      <c r="I55" s="2">
        <f t="shared" si="0"/>
        <v>1.7751298647748015</v>
      </c>
      <c r="J55" s="2">
        <f t="shared" si="1"/>
        <v>2.4438952347748018</v>
      </c>
    </row>
    <row r="56" spans="1:10" x14ac:dyDescent="0.35">
      <c r="A56" t="s">
        <v>113</v>
      </c>
      <c r="B56" t="s">
        <v>114</v>
      </c>
      <c r="C56" s="2">
        <v>4.5999999999999996</v>
      </c>
      <c r="D56" s="2">
        <v>0.90016262034555505</v>
      </c>
      <c r="E56" s="2">
        <v>0.264075165581315</v>
      </c>
      <c r="F56" s="2">
        <v>0.621428571428571</v>
      </c>
      <c r="G56" s="2">
        <v>0.54622170000000003</v>
      </c>
      <c r="H56" s="2">
        <v>0.57773125000000003</v>
      </c>
      <c r="I56" s="2">
        <f t="shared" si="0"/>
        <v>2.331888057355441</v>
      </c>
      <c r="J56" s="2">
        <f>SUM(D56:H56)</f>
        <v>2.9096193073554408</v>
      </c>
    </row>
    <row r="57" spans="1:10" s="4" customFormat="1" x14ac:dyDescent="0.35">
      <c r="A57" s="6" t="s">
        <v>115</v>
      </c>
      <c r="B57" s="6" t="s">
        <v>88</v>
      </c>
      <c r="C57" s="5">
        <v>7.8</v>
      </c>
      <c r="D57" s="5">
        <v>0.89599520512349395</v>
      </c>
      <c r="E57" s="5">
        <v>0.26904649461624802</v>
      </c>
      <c r="F57" s="5">
        <v>0.62155555555555497</v>
      </c>
      <c r="G57" s="5">
        <v>0.51152390000000003</v>
      </c>
      <c r="H57" s="5">
        <v>0.57958670000000001</v>
      </c>
      <c r="I57" s="5">
        <f t="shared" si="0"/>
        <v>2.2981211552952967</v>
      </c>
      <c r="J57" s="5">
        <f>SUM(D57:H57)</f>
        <v>2.8777078552952968</v>
      </c>
    </row>
    <row r="58" spans="1:10" x14ac:dyDescent="0.35">
      <c r="A58" t="s">
        <v>116</v>
      </c>
      <c r="B58" t="s">
        <v>117</v>
      </c>
      <c r="C58" s="2">
        <v>8</v>
      </c>
      <c r="D58" s="2">
        <v>0.86814547327122504</v>
      </c>
      <c r="E58" s="2">
        <v>0.22019404944080601</v>
      </c>
      <c r="F58" s="2">
        <v>0.58111111111111102</v>
      </c>
      <c r="G58" s="2">
        <v>0.53572920000000002</v>
      </c>
      <c r="H58" s="2">
        <v>0.59685683</v>
      </c>
      <c r="I58" s="5">
        <f t="shared" si="0"/>
        <v>2.2051798338231419</v>
      </c>
      <c r="J58" s="5">
        <f>SUM(D58:H58)</f>
        <v>2.802036663823142</v>
      </c>
    </row>
    <row r="59" spans="1:10" x14ac:dyDescent="0.35">
      <c r="A59" t="s">
        <v>118</v>
      </c>
      <c r="B59" t="s">
        <v>119</v>
      </c>
      <c r="C59" s="2">
        <v>4.2</v>
      </c>
      <c r="D59" s="2">
        <v>0.90628300370161896</v>
      </c>
      <c r="E59" s="2">
        <v>0.26539267842627501</v>
      </c>
      <c r="F59" s="2">
        <v>0.56799999999999995</v>
      </c>
      <c r="G59" s="2">
        <v>0.45174520000000001</v>
      </c>
      <c r="H59" s="2">
        <v>0.59912840000000001</v>
      </c>
      <c r="I59" s="5">
        <f t="shared" si="0"/>
        <v>2.1914208821278938</v>
      </c>
      <c r="J59" s="5">
        <f>SUM(D59:H59)</f>
        <v>2.7905492821278939</v>
      </c>
    </row>
    <row r="60" spans="1:10" x14ac:dyDescent="0.35">
      <c r="A60" t="s">
        <v>120</v>
      </c>
      <c r="B60" t="s">
        <v>121</v>
      </c>
      <c r="C60" s="2">
        <v>7.8</v>
      </c>
      <c r="D60" s="2">
        <v>0.46500329670358098</v>
      </c>
      <c r="E60" s="2">
        <v>-0.15028070850105801</v>
      </c>
      <c r="F60" s="2">
        <v>0.70511111111111102</v>
      </c>
      <c r="G60" s="2">
        <v>0.51152390000000003</v>
      </c>
      <c r="H60" s="2">
        <v>0.57958670000000001</v>
      </c>
      <c r="I60" s="5">
        <f t="shared" si="0"/>
        <v>1.5313575993136339</v>
      </c>
      <c r="J60" s="5">
        <f>SUM(D60:H60)</f>
        <v>2.1109442993136338</v>
      </c>
    </row>
    <row r="61" spans="1:10" x14ac:dyDescent="0.35">
      <c r="A61" t="s">
        <v>122</v>
      </c>
      <c r="B61" t="s">
        <v>123</v>
      </c>
      <c r="C61" s="2">
        <v>7.8</v>
      </c>
      <c r="D61" s="2">
        <v>0.46431748276102103</v>
      </c>
      <c r="E61" s="2">
        <v>-0.148851922383893</v>
      </c>
      <c r="F61" s="2">
        <v>0.70511111111111102</v>
      </c>
      <c r="G61" s="2">
        <v>0.51152390000000003</v>
      </c>
      <c r="H61" s="2">
        <v>0.57958670000000001</v>
      </c>
      <c r="I61" s="5">
        <f t="shared" ref="I61" si="2">SUM(D61:G61)</f>
        <v>1.532100571488239</v>
      </c>
      <c r="J61" s="5">
        <f>SUM(D61:H61)</f>
        <v>2.1116872714882389</v>
      </c>
    </row>
    <row r="62" spans="1:10" x14ac:dyDescent="0.35">
      <c r="A62" t="s">
        <v>124</v>
      </c>
      <c r="B62" s="6" t="s">
        <v>125</v>
      </c>
      <c r="C62" s="2">
        <v>7.8</v>
      </c>
      <c r="D62" s="2">
        <v>0.46500329670358098</v>
      </c>
      <c r="E62" s="2">
        <v>-0.15028070850105801</v>
      </c>
      <c r="F62" s="2">
        <v>0.70511111111111102</v>
      </c>
      <c r="G62" s="2">
        <v>0.51152390000000003</v>
      </c>
      <c r="H62" s="2">
        <v>0.57958670000000001</v>
      </c>
      <c r="I62" s="5">
        <f t="shared" ref="I62:I64" si="3">SUM(D62:G62)</f>
        <v>1.5313575993136339</v>
      </c>
      <c r="J62" s="5">
        <f>SUM(D62:H62)</f>
        <v>2.1109442993136338</v>
      </c>
    </row>
    <row r="63" spans="1:10" x14ac:dyDescent="0.35">
      <c r="A63" t="s">
        <v>126</v>
      </c>
      <c r="B63" t="s">
        <v>127</v>
      </c>
      <c r="C63" s="2">
        <v>7.8</v>
      </c>
      <c r="D63" s="2">
        <v>0.85578724342647305</v>
      </c>
      <c r="E63" s="2">
        <v>0.229195676646958</v>
      </c>
      <c r="F63" s="2">
        <v>0.63</v>
      </c>
      <c r="G63" s="2">
        <v>0.51152390000000003</v>
      </c>
      <c r="H63" s="2">
        <v>0.57958670000000001</v>
      </c>
      <c r="I63" s="5">
        <f t="shared" si="3"/>
        <v>2.226506820073431</v>
      </c>
      <c r="J63" s="5">
        <f>SUM(D63:H63)</f>
        <v>2.8060935200734312</v>
      </c>
    </row>
    <row r="64" spans="1:10" x14ac:dyDescent="0.35">
      <c r="A64" t="s">
        <v>128</v>
      </c>
      <c r="B64" t="s">
        <v>129</v>
      </c>
      <c r="C64" s="2">
        <v>7.8</v>
      </c>
      <c r="D64" s="2">
        <v>0.50001693684080795</v>
      </c>
      <c r="E64" s="2">
        <v>-0.247843729720404</v>
      </c>
      <c r="F64" s="2">
        <v>0.90811111111111098</v>
      </c>
      <c r="G64" s="2">
        <v>0.51152390000000003</v>
      </c>
      <c r="H64" s="2">
        <v>0.57958670000000001</v>
      </c>
      <c r="I64" s="5">
        <f t="shared" si="3"/>
        <v>1.6718082182315148</v>
      </c>
      <c r="J64" s="5">
        <f>SUM(D64:H64)</f>
        <v>2.2513949182315147</v>
      </c>
    </row>
    <row r="65" spans="1:10" x14ac:dyDescent="0.35">
      <c r="A65" t="s">
        <v>130</v>
      </c>
      <c r="B65" t="s">
        <v>131</v>
      </c>
      <c r="C65" s="2">
        <v>11.6</v>
      </c>
      <c r="D65" s="2">
        <v>0.450149867501207</v>
      </c>
      <c r="E65" s="2">
        <v>-0.26547520640021599</v>
      </c>
      <c r="F65" s="2">
        <v>0.89102564102564097</v>
      </c>
      <c r="G65" s="2">
        <v>0.42091669999999998</v>
      </c>
      <c r="H65" s="2">
        <v>0.63935850000000005</v>
      </c>
      <c r="I65" s="5">
        <f t="shared" ref="I65" si="4">SUM(D65:G65)</f>
        <v>1.4966170021266321</v>
      </c>
      <c r="J65" s="5">
        <f>SUM(D65:H65)</f>
        <v>2.135975502126632</v>
      </c>
    </row>
    <row r="66" spans="1:10" x14ac:dyDescent="0.35">
      <c r="A66" t="s">
        <v>132</v>
      </c>
      <c r="B66" t="s">
        <v>133</v>
      </c>
      <c r="C66" s="2">
        <v>11.6</v>
      </c>
      <c r="D66" s="2">
        <v>0.39036765114584898</v>
      </c>
      <c r="E66" s="2">
        <v>-0.27809883227794402</v>
      </c>
      <c r="F66" s="2">
        <v>0.83897435897435901</v>
      </c>
      <c r="G66" s="2">
        <v>0.42091669999999998</v>
      </c>
      <c r="H66" s="2">
        <v>0.63935850000000005</v>
      </c>
      <c r="I66" s="5">
        <f t="shared" ref="I66" si="5">SUM(D66:G66)</f>
        <v>1.3721598778422639</v>
      </c>
      <c r="J66" s="5">
        <f>SUM(D66:H66)</f>
        <v>2.0115183778422638</v>
      </c>
    </row>
    <row r="67" spans="1:10" x14ac:dyDescent="0.35">
      <c r="A67" t="s">
        <v>134</v>
      </c>
      <c r="B67" t="s">
        <v>135</v>
      </c>
      <c r="C67" s="2">
        <v>12.8</v>
      </c>
      <c r="D67" s="2">
        <v>0.50510335139476104</v>
      </c>
      <c r="E67" s="2">
        <v>-0.13057833542596101</v>
      </c>
      <c r="F67" s="2">
        <v>0.68355128205128202</v>
      </c>
      <c r="G67" s="2">
        <v>0.48693782000000002</v>
      </c>
      <c r="H67" s="2">
        <v>0.63060059999999996</v>
      </c>
      <c r="I67" s="5">
        <f t="shared" ref="I67" si="6">SUM(D67:G67)</f>
        <v>1.5450141180200823</v>
      </c>
      <c r="J67" s="5">
        <f>SUM(D67:H67)</f>
        <v>2.175614718020082</v>
      </c>
    </row>
    <row r="68" spans="1:10" x14ac:dyDescent="0.35">
      <c r="A68" t="s">
        <v>136</v>
      </c>
      <c r="B68" t="s">
        <v>137</v>
      </c>
      <c r="C68" s="2">
        <v>7.8</v>
      </c>
      <c r="D68" s="2">
        <v>0.55130510903615704</v>
      </c>
      <c r="E68" s="2">
        <v>-0.103209884917229</v>
      </c>
      <c r="F68" s="2">
        <v>0.63355555555555498</v>
      </c>
      <c r="G68" s="2">
        <v>0.51152390000000003</v>
      </c>
      <c r="H68" s="2">
        <v>0.57958670000000001</v>
      </c>
      <c r="I68" s="5">
        <f t="shared" ref="I68" si="7">SUM(D68:G68)</f>
        <v>1.593174679674483</v>
      </c>
      <c r="J68" s="5">
        <f>SUM(D68:H68)</f>
        <v>2.1727613796744829</v>
      </c>
    </row>
    <row r="69" spans="1:10" x14ac:dyDescent="0.35">
      <c r="A69" t="s">
        <v>138</v>
      </c>
      <c r="B69" t="s">
        <v>139</v>
      </c>
      <c r="C69" s="2">
        <v>7.8</v>
      </c>
      <c r="D69" s="2">
        <v>0.76920402278183297</v>
      </c>
      <c r="E69" s="2">
        <v>8.6581787454832901E-2</v>
      </c>
      <c r="F69" s="2">
        <v>0.55938888888888805</v>
      </c>
      <c r="G69" s="2">
        <v>0.51152390000000003</v>
      </c>
      <c r="H69" s="2">
        <v>0.57958670000000001</v>
      </c>
      <c r="I69" s="5">
        <f t="shared" ref="I69" si="8">SUM(D69:G69)</f>
        <v>1.9266985991255539</v>
      </c>
      <c r="J69" s="5">
        <f>SUM(D69:H69)</f>
        <v>2.5062852991255538</v>
      </c>
    </row>
    <row r="70" spans="1:10" x14ac:dyDescent="0.35">
      <c r="A70" t="s">
        <v>138</v>
      </c>
      <c r="B70" t="s">
        <v>140</v>
      </c>
      <c r="C70" s="2">
        <v>7.8</v>
      </c>
      <c r="D70" s="2">
        <v>0.85540183558483096</v>
      </c>
      <c r="E70" s="2">
        <v>0.22777066062591</v>
      </c>
      <c r="F70" s="2">
        <v>0.63</v>
      </c>
      <c r="G70" s="2">
        <v>0.51152390000000003</v>
      </c>
      <c r="H70" s="2">
        <v>0.57958670000000001</v>
      </c>
      <c r="I70" s="5">
        <f t="shared" ref="I70" si="9">SUM(D70:G70)</f>
        <v>2.2246963962107413</v>
      </c>
      <c r="J70" s="5">
        <f>SUM(D70:H70)</f>
        <v>2.8042830962107415</v>
      </c>
    </row>
    <row r="71" spans="1:10" x14ac:dyDescent="0.35">
      <c r="A71" t="s">
        <v>141</v>
      </c>
      <c r="B71" t="s">
        <v>142</v>
      </c>
      <c r="C71" s="2">
        <v>7.8</v>
      </c>
      <c r="D71" s="2">
        <v>0.86141615254517501</v>
      </c>
      <c r="E71" s="2">
        <v>0.232270647625443</v>
      </c>
      <c r="F71" s="2">
        <v>0.63544444444444403</v>
      </c>
      <c r="G71" s="2">
        <v>0.51152390000000003</v>
      </c>
      <c r="H71" s="2">
        <v>0.57958670000000001</v>
      </c>
      <c r="I71" s="5">
        <f t="shared" ref="I71:I73" si="10">SUM(D71:G71)</f>
        <v>2.240655144615062</v>
      </c>
      <c r="J71" s="5">
        <f>SUM(D71:H71)</f>
        <v>2.8202418446150621</v>
      </c>
    </row>
    <row r="72" spans="1:10" x14ac:dyDescent="0.35">
      <c r="A72" t="s">
        <v>143</v>
      </c>
      <c r="B72" t="s">
        <v>144</v>
      </c>
      <c r="C72" s="2">
        <v>7.8</v>
      </c>
      <c r="D72" s="2">
        <v>0.88868017784341202</v>
      </c>
      <c r="E72" s="2">
        <v>0.26069799890783901</v>
      </c>
      <c r="F72" s="2">
        <v>0.62555555555555498</v>
      </c>
      <c r="G72" s="2">
        <v>0.51152390000000003</v>
      </c>
      <c r="H72" s="2">
        <v>0.57958670000000001</v>
      </c>
      <c r="I72" s="5">
        <f t="shared" si="10"/>
        <v>2.286457632306806</v>
      </c>
      <c r="J72" s="5">
        <f>SUM(D72:H72)</f>
        <v>2.8660443323068061</v>
      </c>
    </row>
    <row r="73" spans="1:10" x14ac:dyDescent="0.35">
      <c r="A73" t="s">
        <v>147</v>
      </c>
      <c r="B73" t="s">
        <v>145</v>
      </c>
      <c r="C73" s="2">
        <v>7.8</v>
      </c>
      <c r="D73" s="2">
        <v>0.89283484539097402</v>
      </c>
      <c r="E73" s="2">
        <v>0.26719945977029202</v>
      </c>
      <c r="F73" s="2">
        <v>0.626</v>
      </c>
      <c r="G73" s="2">
        <v>0.51152390000000003</v>
      </c>
      <c r="H73" s="2">
        <v>0.57958670000000001</v>
      </c>
      <c r="I73" s="5">
        <f t="shared" si="10"/>
        <v>2.2975582051612662</v>
      </c>
      <c r="J73" s="5">
        <f>SUM(D73:H73)</f>
        <v>2.8771449051612663</v>
      </c>
    </row>
    <row r="74" spans="1:10" x14ac:dyDescent="0.35">
      <c r="A74" t="s">
        <v>148</v>
      </c>
      <c r="B74" t="s">
        <v>146</v>
      </c>
      <c r="C74" s="2">
        <v>7.8</v>
      </c>
      <c r="D74" s="2">
        <v>0.64855172181318399</v>
      </c>
      <c r="E74" s="2">
        <v>2.46467447286337E-2</v>
      </c>
      <c r="F74" s="2">
        <v>0.67688888888888799</v>
      </c>
      <c r="G74" s="2">
        <v>0.51152390000000003</v>
      </c>
      <c r="H74" s="2">
        <v>0.57958670000000001</v>
      </c>
      <c r="I74" s="5">
        <f t="shared" ref="I74" si="11">SUM(D74:G74)</f>
        <v>1.8616112554307056</v>
      </c>
      <c r="J74" s="5">
        <f>SUM(D74:H74)</f>
        <v>2.4411979554307055</v>
      </c>
    </row>
    <row r="75" spans="1:10" x14ac:dyDescent="0.35">
      <c r="A75" t="s">
        <v>149</v>
      </c>
      <c r="B75" t="s">
        <v>150</v>
      </c>
      <c r="C75" s="2">
        <v>7.8</v>
      </c>
      <c r="D75" s="2">
        <v>0.85578724342647305</v>
      </c>
      <c r="E75" s="2">
        <v>0.229195676646958</v>
      </c>
      <c r="F75" s="2">
        <v>0.63</v>
      </c>
      <c r="G75" s="2">
        <v>0.51152390000000003</v>
      </c>
      <c r="H75" s="2">
        <v>0.57958670000000001</v>
      </c>
      <c r="I75" s="5">
        <f t="shared" ref="I75:I76" si="12">SUM(D75:G75)</f>
        <v>2.226506820073431</v>
      </c>
      <c r="J75" s="5">
        <f>SUM(D75:H75)</f>
        <v>2.8060935200734312</v>
      </c>
    </row>
    <row r="76" spans="1:10" x14ac:dyDescent="0.35">
      <c r="A76" t="s">
        <v>151</v>
      </c>
      <c r="B76" s="6" t="s">
        <v>152</v>
      </c>
      <c r="C76" s="2">
        <v>7.8</v>
      </c>
      <c r="D76" s="2">
        <v>0.89599520512349395</v>
      </c>
      <c r="E76" s="2">
        <v>0.26904649461624802</v>
      </c>
      <c r="F76" s="2">
        <v>0.62155555555555497</v>
      </c>
      <c r="G76" s="2">
        <v>0.51152390000000003</v>
      </c>
      <c r="H76" s="2">
        <v>0.57958670000000001</v>
      </c>
      <c r="I76" s="5">
        <f t="shared" si="12"/>
        <v>2.2981211552952967</v>
      </c>
      <c r="J76" s="5">
        <f>SUM(D76:H76)</f>
        <v>2.8777078552952968</v>
      </c>
    </row>
    <row r="77" spans="1:10" x14ac:dyDescent="0.35">
      <c r="A77" t="s">
        <v>153</v>
      </c>
      <c r="B77" t="s">
        <v>154</v>
      </c>
      <c r="C77" s="2">
        <v>7.8</v>
      </c>
      <c r="D77" s="2">
        <v>0.85007856303819895</v>
      </c>
      <c r="E77" s="2">
        <v>0.222119565082563</v>
      </c>
      <c r="F77" s="2">
        <v>0.63355555555555498</v>
      </c>
      <c r="G77" s="2">
        <v>0.51152390000000003</v>
      </c>
      <c r="H77" s="2">
        <v>0.57958670000000001</v>
      </c>
      <c r="I77" s="5">
        <f t="shared" ref="I77" si="13">SUM(D77:G77)</f>
        <v>2.2172775836763172</v>
      </c>
      <c r="J77" s="5">
        <f>SUM(D77:H77)</f>
        <v>2.7968642836763173</v>
      </c>
    </row>
    <row r="78" spans="1:10" x14ac:dyDescent="0.35">
      <c r="A78" t="s">
        <v>155</v>
      </c>
      <c r="B78" t="s">
        <v>156</v>
      </c>
      <c r="C78" s="2">
        <v>7.8</v>
      </c>
      <c r="D78" s="2">
        <v>0.46500329670358098</v>
      </c>
      <c r="E78" s="2">
        <v>-0.15028070850105801</v>
      </c>
      <c r="F78" s="2">
        <v>0.70511111111111102</v>
      </c>
      <c r="G78" s="2">
        <v>0.51152390000000003</v>
      </c>
      <c r="H78" s="2">
        <v>0.57958670000000001</v>
      </c>
      <c r="I78" s="5">
        <f t="shared" ref="I78" si="14">SUM(D78:G78)</f>
        <v>1.5313575993136339</v>
      </c>
      <c r="J78" s="5">
        <f>SUM(D78:H78)</f>
        <v>2.1109442993136338</v>
      </c>
    </row>
    <row r="79" spans="1:10" x14ac:dyDescent="0.35">
      <c r="A79" t="s">
        <v>157</v>
      </c>
      <c r="B79" t="s">
        <v>158</v>
      </c>
      <c r="C79" s="2">
        <v>7.8</v>
      </c>
      <c r="D79" s="2">
        <v>0.74874212920616401</v>
      </c>
      <c r="E79" s="2">
        <v>-1.33500927118037E-2</v>
      </c>
      <c r="F79" s="2">
        <v>0.79955555555555502</v>
      </c>
      <c r="G79" s="2">
        <v>0.51152390000000003</v>
      </c>
      <c r="H79" s="2">
        <v>0.57958670000000001</v>
      </c>
      <c r="I79" s="5">
        <f t="shared" ref="I79:I80" si="15">SUM(D79:G79)</f>
        <v>2.0464714920499154</v>
      </c>
      <c r="J79" s="5">
        <f>SUM(D79:H79)</f>
        <v>2.6260581920499155</v>
      </c>
    </row>
    <row r="80" spans="1:10" s="4" customFormat="1" x14ac:dyDescent="0.35">
      <c r="A80" s="4" t="s">
        <v>159</v>
      </c>
      <c r="B80" s="4" t="s">
        <v>160</v>
      </c>
      <c r="C80" s="1">
        <v>7.8</v>
      </c>
      <c r="D80" s="1">
        <v>0.89599520512349395</v>
      </c>
      <c r="E80" s="1">
        <v>0.26904649461624802</v>
      </c>
      <c r="F80" s="1">
        <v>0.62155555555555497</v>
      </c>
      <c r="G80" s="1">
        <v>0.51152390000000003</v>
      </c>
      <c r="H80" s="1">
        <v>0.57958670000000001</v>
      </c>
      <c r="I80" s="1">
        <f t="shared" si="15"/>
        <v>2.2981211552952967</v>
      </c>
      <c r="J80" s="1">
        <f>SUM(D80:H80)</f>
        <v>2.8777078552952968</v>
      </c>
    </row>
  </sheetData>
  <mergeCells count="1">
    <mergeCell ref="I1:J1"/>
  </mergeCells>
  <conditionalFormatting sqref="C1:C1048576">
    <cfRule type="colorScale" priority="8">
      <colorScale>
        <cfvo type="min"/>
        <cfvo type="max"/>
        <color rgb="FFFCFCFF"/>
        <color rgb="FF63BE7B"/>
      </colorScale>
    </cfRule>
  </conditionalFormatting>
  <conditionalFormatting sqref="D1:D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Bluet</dc:creator>
  <cp:lastModifiedBy>Alexandre Bluet</cp:lastModifiedBy>
  <dcterms:created xsi:type="dcterms:W3CDTF">2025-02-17T14:02:58Z</dcterms:created>
  <dcterms:modified xsi:type="dcterms:W3CDTF">2025-02-19T15:54:12Z</dcterms:modified>
</cp:coreProperties>
</file>